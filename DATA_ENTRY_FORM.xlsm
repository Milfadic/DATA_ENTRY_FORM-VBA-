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16605" windowHeight="6540"/>
  </bookViews>
  <sheets>
    <sheet name="FORM" sheetId="1" r:id="rId1"/>
    <sheet name="BALANCES" sheetId="2" r:id="rId2"/>
    <sheet name="CODES" sheetId="3" r:id="rId3"/>
  </sheets>
  <functionGroups builtInGroupCount="17"/>
  <definedNames>
    <definedName name="_xlnm._FilterDatabase" localSheetId="1" hidden="1">BALANCES!$A$1:$D$1</definedName>
    <definedName name="Z_393F5C55_F382_488D_820D_AD7E2AF37D2B_.wvu.FilterData" localSheetId="1" hidden="1">BALANCES!$B$1:$E$100</definedName>
    <definedName name="Z_393F5C55_F382_488D_820D_AD7E2AF37D2B_.wvu.Rows" localSheetId="0" hidden="1">FORM!$7:$7</definedName>
  </definedNames>
  <calcPr calcId="145621" concurrentCalc="0"/>
  <customWorkbookViews>
    <customWorkbookView name="Owner - Personal View" guid="{393F5C55-F382-488D-820D-AD7E2AF37D2B}" mergeInterval="0" personalView="1" maximized="1" windowWidth="1366" windowHeight="554" activeSheetId="1"/>
  </customWorkbookViews>
</workbook>
</file>

<file path=xl/calcChain.xml><?xml version="1.0" encoding="utf-8"?>
<calcChain xmlns="http://schemas.openxmlformats.org/spreadsheetml/2006/main">
  <c r="A3" i="2" l="1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C1" i="2"/>
  <c r="A2" i="2"/>
  <c r="D1" i="2"/>
  <c r="F1" i="1"/>
  <c r="H1" i="2"/>
  <c r="I1" i="2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12" i="1"/>
  <c r="A13" i="1"/>
  <c r="A14" i="1"/>
  <c r="A15" i="1"/>
  <c r="A11" i="1"/>
  <c r="G11" i="1"/>
  <c r="G10" i="1"/>
  <c r="E9" i="1"/>
  <c r="E5" i="1"/>
  <c r="E6" i="1"/>
  <c r="E8" i="1"/>
  <c r="E10" i="1"/>
  <c r="G6" i="1"/>
  <c r="E34" i="1"/>
  <c r="E33" i="1"/>
  <c r="E32" i="1"/>
  <c r="E31" i="1"/>
  <c r="E30" i="1"/>
  <c r="E29" i="1"/>
  <c r="E28" i="1"/>
  <c r="E27" i="1"/>
  <c r="E26" i="1"/>
  <c r="E25" i="1"/>
  <c r="G5" i="1"/>
  <c r="G8" i="1"/>
  <c r="G9" i="1"/>
</calcChain>
</file>

<file path=xl/sharedStrings.xml><?xml version="1.0" encoding="utf-8"?>
<sst xmlns="http://schemas.openxmlformats.org/spreadsheetml/2006/main" count="235" uniqueCount="29">
  <si>
    <t xml:space="preserve">SERCOP
DATA ENTRY </t>
  </si>
  <si>
    <t>CURRENT BALANCE</t>
  </si>
  <si>
    <t>CURRENT YEAR</t>
  </si>
  <si>
    <t>VALUE</t>
  </si>
  <si>
    <t>"TOTAL BALANCES REMAINING "</t>
  </si>
  <si>
    <t>EXPEDIENTE</t>
  </si>
  <si>
    <t>&lt;----CURRENT NUMBER</t>
  </si>
  <si>
    <t>FORMULARIO</t>
  </si>
  <si>
    <t>Total Activo Corriente</t>
  </si>
  <si>
    <t>Total Activo Fijos</t>
  </si>
  <si>
    <t>Total Activos Diferidos</t>
  </si>
  <si>
    <t>Total de Activos Largo Plazo</t>
  </si>
  <si>
    <t>Total Activos</t>
  </si>
  <si>
    <t>Total Pasivo Corriente</t>
  </si>
  <si>
    <t>Total Pasivo Largo Plaz</t>
  </si>
  <si>
    <t xml:space="preserve">Total Pasivo </t>
  </si>
  <si>
    <t>Otros</t>
  </si>
  <si>
    <t>Total Ingresos</t>
  </si>
  <si>
    <t>Total Costos y Gastos</t>
  </si>
  <si>
    <t>ACTIVOS CORRIENTE</t>
  </si>
  <si>
    <t>ACTIVO FIJO</t>
  </si>
  <si>
    <t>CODE</t>
  </si>
  <si>
    <t>THIS COLUMN WILL LIGHT UP IF DUPLICATE</t>
  </si>
  <si>
    <t xml:space="preserve">VALUE TO CHECK </t>
  </si>
  <si>
    <t>DON’T TOUCH</t>
  </si>
  <si>
    <t>sc.nec.76459.2011.1</t>
  </si>
  <si>
    <t>ENTER A</t>
  </si>
  <si>
    <t>ENTER B</t>
  </si>
  <si>
    <t>CODES THAT ARE DONE FOR INTEGRITY CHECKS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</si>
</sst>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3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/>
    <xf numFmtId="0" fontId="0" fillId="0" borderId="0" xfId="0" applyBorder="1"/>
    <xf numFmtId="0" fontId="0" fillId="2" borderId="0" xfId="0" applyFill="1"/>
    <xf numFmtId="0" fontId="0" fillId="3" borderId="0" xfId="0" applyFill="1" applyAlignment="1"/>
    <xf numFmtId="0" fontId="2" fillId="3" borderId="0" xfId="0" applyFont="1" applyFill="1" applyBorder="1" applyAlignment="1">
      <alignment vertical="center"/>
    </xf>
    <xf numFmtId="0" fontId="0" fillId="3" borderId="0" xfId="0" applyFill="1" applyBorder="1"/>
    <xf numFmtId="0" fontId="0" fillId="3" borderId="0" xfId="0" applyFill="1"/>
    <xf numFmtId="0" fontId="3" fillId="0" borderId="0" xfId="0" applyFont="1" applyAlignment="1">
      <alignment horizontal="center" vertical="center"/>
    </xf>
    <xf numFmtId="0" fontId="0" fillId="4" borderId="0" xfId="0" applyFill="1"/>
    <xf numFmtId="0" fontId="1" fillId="0" borderId="1" xfId="0" applyFont="1" applyBorder="1" applyAlignment="1" applyProtection="1">
      <alignment horizontal="center" vertical="center"/>
    </xf>
    <xf numFmtId="0" fontId="1" fillId="0" borderId="5" xfId="0" applyFont="1" applyBorder="1" applyAlignment="1" applyProtection="1">
      <alignment horizontal="center"/>
    </xf>
    <xf numFmtId="0" fontId="0" fillId="4" borderId="1" xfId="0" applyFill="1" applyBorder="1" applyProtection="1"/>
    <xf numFmtId="0" fontId="0" fillId="0" borderId="1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4" xfId="0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1" fillId="4" borderId="1" xfId="0" applyFont="1" applyFill="1" applyBorder="1" applyProtection="1">
      <protection hidden="1"/>
    </xf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" fillId="0" borderId="2" xfId="0" applyFont="1" applyBorder="1" applyAlignment="1" applyProtection="1">
      <alignment horizontal="center"/>
      <protection locked="0"/>
    </xf>
    <xf numFmtId="0" fontId="0" fillId="3" borderId="0" xfId="0" applyFill="1" applyProtection="1">
      <protection locked="0"/>
    </xf>
    <xf numFmtId="0" fontId="0" fillId="0" borderId="0" xfId="0" applyBorder="1" applyProtection="1">
      <protection locked="0"/>
    </xf>
    <xf numFmtId="0" fontId="1" fillId="4" borderId="1" xfId="0" applyFont="1" applyFill="1" applyBorder="1" applyProtection="1">
      <protection locked="0" hidden="1"/>
    </xf>
    <xf numFmtId="0" fontId="0" fillId="0" borderId="1" xfId="0" applyFill="1" applyBorder="1"/>
    <xf numFmtId="0" fontId="0" fillId="0" borderId="0" xfId="0" applyFill="1" applyBorder="1"/>
    <xf numFmtId="0" fontId="0" fillId="0" borderId="0" xfId="0" applyFill="1"/>
    <xf numFmtId="0" fontId="0" fillId="0" borderId="0" xfId="0" applyFill="1" applyBorder="1" applyAlignment="1">
      <alignment horizontal="center" vertical="center" wrapText="1"/>
    </xf>
    <xf numFmtId="0" fontId="0" fillId="4" borderId="6" xfId="0" applyFill="1" applyBorder="1" applyProtection="1"/>
    <xf numFmtId="0" fontId="0" fillId="0" borderId="1" xfId="0" applyBorder="1" applyProtection="1">
      <protection locked="0"/>
    </xf>
    <xf numFmtId="0" fontId="0" fillId="0" borderId="6" xfId="0" applyFill="1" applyBorder="1"/>
    <xf numFmtId="0" fontId="0" fillId="0" borderId="7" xfId="0" applyBorder="1" applyProtection="1">
      <protection locked="0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 applyProtection="1">
      <alignment horizontal="center"/>
      <protection locked="0"/>
    </xf>
    <xf numFmtId="0" fontId="1" fillId="6" borderId="1" xfId="0" applyFont="1" applyFill="1" applyBorder="1"/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0" fillId="0" borderId="1" xfId="0" applyBorder="1" applyProtection="1">
      <protection locked="0"/>
    </xf>
    <xf numFmtId="0" fontId="2" fillId="0" borderId="0" xfId="0" applyFont="1" applyBorder="1" applyAlignment="1" applyProtection="1">
      <alignment horizontal="center" vertical="center" wrapText="1"/>
    </xf>
    <xf numFmtId="0" fontId="2" fillId="0" borderId="3" xfId="0" applyFont="1" applyBorder="1" applyAlignment="1" applyProtection="1">
      <alignment horizontal="center" vertical="center" wrapText="1"/>
    </xf>
    <xf numFmtId="0" fontId="1" fillId="0" borderId="0" xfId="0" applyFont="1" applyAlignment="1" applyProtection="1">
      <alignment horizontal="center" vertical="center"/>
    </xf>
    <xf numFmtId="0" fontId="1" fillId="0" borderId="3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  <protection locked="0"/>
    </xf>
    <xf numFmtId="0" fontId="1" fillId="7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13</xdr:row>
          <xdr:rowOff>38100</xdr:rowOff>
        </xdr:from>
        <xdr:to>
          <xdr:col>4</xdr:col>
          <xdr:colOff>457200</xdr:colOff>
          <xdr:row>17</xdr:row>
          <xdr:rowOff>47625</xdr:rowOff>
        </xdr:to>
        <xdr:sp macro="" textlink="">
          <xdr:nvSpPr>
            <xdr:cNvPr id="1031" name="CommandButton2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13</xdr:row>
          <xdr:rowOff>85725</xdr:rowOff>
        </xdr:from>
        <xdr:to>
          <xdr:col>6</xdr:col>
          <xdr:colOff>314325</xdr:colOff>
          <xdr:row>17</xdr:row>
          <xdr:rowOff>9525</xdr:rowOff>
        </xdr:to>
        <xdr:sp macro="" textlink="">
          <xdr:nvSpPr>
            <xdr:cNvPr id="1032" name="CommandButton2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942975</xdr:colOff>
          <xdr:row>0</xdr:row>
          <xdr:rowOff>114300</xdr:rowOff>
        </xdr:from>
        <xdr:to>
          <xdr:col>2</xdr:col>
          <xdr:colOff>2438400</xdr:colOff>
          <xdr:row>3</xdr:row>
          <xdr:rowOff>133350</xdr:rowOff>
        </xdr:to>
        <xdr:sp macro="" textlink="">
          <xdr:nvSpPr>
            <xdr:cNvPr id="1036" name="CommandButton23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1466850</xdr:colOff>
          <xdr:row>19</xdr:row>
          <xdr:rowOff>19050</xdr:rowOff>
        </xdr:from>
        <xdr:to>
          <xdr:col>5</xdr:col>
          <xdr:colOff>1247775</xdr:colOff>
          <xdr:row>23</xdr:row>
          <xdr:rowOff>76200</xdr:rowOff>
        </xdr:to>
        <xdr:sp macro="" textlink="">
          <xdr:nvSpPr>
            <xdr:cNvPr id="1037" name="CommandButton24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34"/>
  <sheetViews>
    <sheetView showGridLines="0" tabSelected="1" topLeftCell="B1" zoomScale="70" zoomScaleNormal="70" workbookViewId="0">
      <selection activeCell="B10" sqref="B10:B199"/>
    </sheetView>
  </sheetViews>
  <sheetFormatPr defaultRowHeight="15" x14ac:dyDescent="0.25"/>
  <cols>
    <col min="1" max="1" width="30.85546875" style="7" customWidth="1"/>
    <col min="2" max="2" width="33.42578125" style="18" customWidth="1"/>
    <col min="3" max="3" width="37" style="18" customWidth="1"/>
    <col min="4" max="4" width="23.7109375" style="2" customWidth="1"/>
    <col min="5" max="5" width="8.85546875" customWidth="1"/>
    <col min="6" max="6" width="23.42578125" customWidth="1"/>
    <col min="7" max="7" width="17.5703125" customWidth="1"/>
  </cols>
  <sheetData>
    <row r="1" spans="1:12" s="1" customFormat="1" ht="15" customHeight="1" x14ac:dyDescent="0.25">
      <c r="A1" s="4"/>
      <c r="B1" s="38" t="s">
        <v>0</v>
      </c>
      <c r="C1" s="38"/>
      <c r="D1" s="40" t="s">
        <v>4</v>
      </c>
      <c r="E1" s="40"/>
      <c r="F1" s="42">
        <f>COUNTIF(BALANCES!D:D,0)</f>
        <v>99</v>
      </c>
      <c r="G1" s="42"/>
      <c r="H1" s="42"/>
      <c r="I1" s="8"/>
    </row>
    <row r="2" spans="1:12" s="1" customFormat="1" ht="15" customHeight="1" x14ac:dyDescent="0.25">
      <c r="A2" s="5"/>
      <c r="B2" s="38"/>
      <c r="C2" s="38"/>
      <c r="D2" s="40"/>
      <c r="E2" s="40"/>
      <c r="F2" s="42"/>
      <c r="G2" s="42"/>
      <c r="H2" s="42"/>
      <c r="I2" s="8"/>
    </row>
    <row r="3" spans="1:12" ht="15" customHeight="1" x14ac:dyDescent="0.25">
      <c r="A3" s="5"/>
      <c r="B3" s="38"/>
      <c r="C3" s="38"/>
      <c r="D3" s="40"/>
      <c r="E3" s="40"/>
      <c r="F3" s="42"/>
      <c r="G3" s="42"/>
      <c r="H3" s="42"/>
      <c r="I3" s="8"/>
    </row>
    <row r="4" spans="1:12" ht="15" customHeight="1" x14ac:dyDescent="0.25">
      <c r="A4" s="5"/>
      <c r="B4" s="39"/>
      <c r="C4" s="39"/>
      <c r="D4" s="41"/>
      <c r="E4" s="41"/>
      <c r="F4" s="42"/>
      <c r="G4" s="42"/>
      <c r="H4" s="42"/>
      <c r="I4" s="8"/>
    </row>
    <row r="5" spans="1:12" ht="37.5" customHeight="1" x14ac:dyDescent="0.25">
      <c r="A5" s="27" t="s">
        <v>22</v>
      </c>
      <c r="B5" s="10" t="s">
        <v>1</v>
      </c>
      <c r="C5" s="35">
        <v>76459</v>
      </c>
      <c r="D5" s="12" t="s">
        <v>8</v>
      </c>
      <c r="E5" s="17">
        <f>SUMIFS($C$10:$C$200,$B$10:$B$200,"&lt;339")</f>
        <v>6710.57</v>
      </c>
      <c r="F5" s="12" t="s">
        <v>13</v>
      </c>
      <c r="G5" s="23">
        <f>SUMIFS($C$10:$C$200,$B$10:$B$200,"&gt;400",$B$10:$B$200,"&lt;439")</f>
        <v>660.14</v>
      </c>
      <c r="H5" s="9"/>
      <c r="I5" s="9"/>
      <c r="J5" s="9"/>
      <c r="K5" s="9"/>
      <c r="L5" s="9"/>
    </row>
    <row r="6" spans="1:12" ht="38.25" customHeight="1" x14ac:dyDescent="0.25">
      <c r="A6" s="6"/>
      <c r="B6" s="10" t="s">
        <v>2</v>
      </c>
      <c r="C6" s="15">
        <v>2011</v>
      </c>
      <c r="D6" s="12" t="s">
        <v>9</v>
      </c>
      <c r="E6" s="17">
        <f>SUMIFS($C$10:$C$200,$B$10:$B$200,"&gt;339",$B$10:$B$200,"&lt;369")</f>
        <v>0</v>
      </c>
      <c r="F6" s="12" t="s">
        <v>14</v>
      </c>
      <c r="G6" s="23">
        <f>SUMIFS($C$10:$C$200,$B$10:$B$200,"&gt;439",$B$10:$B$200,"&lt;469")</f>
        <v>8093.16</v>
      </c>
      <c r="H6" s="9"/>
      <c r="I6" s="9"/>
      <c r="J6" s="9"/>
      <c r="K6" s="9"/>
      <c r="L6" s="9"/>
    </row>
    <row r="7" spans="1:12" hidden="1" x14ac:dyDescent="0.25">
      <c r="B7" s="19"/>
      <c r="C7" s="14"/>
      <c r="D7" s="12"/>
      <c r="E7" s="17"/>
      <c r="F7" s="12"/>
      <c r="G7" s="23"/>
      <c r="H7" s="9"/>
      <c r="I7" s="9"/>
      <c r="J7" s="9"/>
      <c r="K7" s="9"/>
      <c r="L7" s="9"/>
    </row>
    <row r="8" spans="1:12" x14ac:dyDescent="0.25">
      <c r="B8" s="16" t="s">
        <v>7</v>
      </c>
      <c r="C8" s="13" t="s">
        <v>25</v>
      </c>
      <c r="D8" s="12" t="s">
        <v>10</v>
      </c>
      <c r="E8" s="17">
        <f>SUMIFS($C$10:$C$200,$B$10:$B$200,"&gt;369",$B$10:$B$200,"&lt;379")</f>
        <v>0</v>
      </c>
      <c r="F8" s="12" t="s">
        <v>16</v>
      </c>
      <c r="G8" s="23">
        <f>SUMIFS($C$10:$C$200,$B$10:$B$200,"&gt;469",$B$10:$B$200,"&lt;490")</f>
        <v>0</v>
      </c>
      <c r="H8" s="9"/>
      <c r="I8" s="9"/>
      <c r="J8" s="9"/>
      <c r="K8" s="9"/>
      <c r="L8" s="9"/>
    </row>
    <row r="9" spans="1:12" ht="14.45" x14ac:dyDescent="0.3">
      <c r="B9" s="20" t="s">
        <v>21</v>
      </c>
      <c r="C9" s="11" t="s">
        <v>3</v>
      </c>
      <c r="D9" s="12" t="s">
        <v>11</v>
      </c>
      <c r="E9" s="17">
        <f>SUMIFS($C$10:$C$200,$B$10:$B$200,"&gt;379",$B$10:$B$200,"&lt;397")</f>
        <v>0</v>
      </c>
      <c r="F9" s="12" t="s">
        <v>15</v>
      </c>
      <c r="G9" s="23">
        <f>SUM(G5:G8)</f>
        <v>8753.2999999999993</v>
      </c>
      <c r="H9" s="9"/>
      <c r="I9" s="9"/>
      <c r="J9" s="9"/>
      <c r="K9" s="9"/>
      <c r="L9" s="9"/>
    </row>
    <row r="10" spans="1:12" ht="15" customHeight="1" x14ac:dyDescent="0.3">
      <c r="B10" s="29">
        <v>311</v>
      </c>
      <c r="C10" s="37">
        <v>5463.12</v>
      </c>
      <c r="D10" s="28" t="s">
        <v>12</v>
      </c>
      <c r="E10" s="17">
        <f>SUM(E5:E9)</f>
        <v>6710.57</v>
      </c>
      <c r="F10" s="12" t="s">
        <v>17</v>
      </c>
      <c r="G10" s="23">
        <f>SUMIFS($C$10:$C$200,$B$10:$B$200,"&gt;600",$B$10:$B$200,"&lt;699")</f>
        <v>51578.600000000006</v>
      </c>
      <c r="H10" s="9"/>
      <c r="I10" s="9"/>
      <c r="J10" s="9"/>
      <c r="K10" s="9"/>
      <c r="L10" s="9"/>
    </row>
    <row r="11" spans="1:12" ht="14.45" x14ac:dyDescent="0.3">
      <c r="A11" s="7">
        <f>COUNTIF($B$10:B10,"="&amp;B11)-COUNTBLANK(($B$10:B10))</f>
        <v>0</v>
      </c>
      <c r="B11" s="29">
        <v>323</v>
      </c>
      <c r="C11" s="37">
        <v>1247.45</v>
      </c>
      <c r="D11" s="28"/>
      <c r="E11" s="12"/>
      <c r="F11" s="12" t="s">
        <v>18</v>
      </c>
      <c r="G11" s="23">
        <f>SUMIFS($C$10:$C$200,$B$10:$B$200,"&gt;699",$B$10:$B$200,"&lt;795")</f>
        <v>53605.520000000004</v>
      </c>
      <c r="H11" s="9"/>
      <c r="I11" s="9"/>
      <c r="J11" s="9"/>
      <c r="K11" s="9"/>
      <c r="L11" s="9"/>
    </row>
    <row r="12" spans="1:12" ht="14.45" x14ac:dyDescent="0.3">
      <c r="A12" s="7">
        <f>COUNTIF($B$10:B11,"="&amp;B12)-COUNTBLANK(($B$10:B11))</f>
        <v>0</v>
      </c>
      <c r="B12" s="29">
        <v>339</v>
      </c>
      <c r="C12" s="29">
        <v>6710.57</v>
      </c>
      <c r="D12" s="28"/>
      <c r="E12" s="12"/>
      <c r="F12" s="12"/>
      <c r="G12" s="12"/>
      <c r="H12" s="9"/>
      <c r="I12" s="9"/>
      <c r="J12" s="9"/>
      <c r="K12" s="9"/>
      <c r="L12" s="9"/>
    </row>
    <row r="13" spans="1:12" x14ac:dyDescent="0.25">
      <c r="A13" s="7">
        <f>COUNTIF($B$10:B12,"="&amp;B13)-COUNTBLANK(($B$10:B12))</f>
        <v>0</v>
      </c>
      <c r="B13" s="29">
        <v>399</v>
      </c>
      <c r="C13" s="29">
        <v>6710.57</v>
      </c>
      <c r="D13" s="28"/>
      <c r="E13" s="12"/>
      <c r="F13" s="12"/>
      <c r="G13" s="12"/>
      <c r="H13" s="9"/>
      <c r="I13" s="9"/>
      <c r="J13" s="9"/>
      <c r="K13" s="9"/>
      <c r="L13" s="9"/>
    </row>
    <row r="14" spans="1:12" x14ac:dyDescent="0.25">
      <c r="A14" s="7">
        <f>COUNTIF($B$10:B13,"="&amp;B14)-COUNTBLANK(($B$10:B13))</f>
        <v>0</v>
      </c>
      <c r="B14" s="29">
        <v>428</v>
      </c>
      <c r="C14" s="29">
        <v>660.14</v>
      </c>
    </row>
    <row r="15" spans="1:12" x14ac:dyDescent="0.25">
      <c r="A15" s="7">
        <f>COUNTIF($B$10:B14,"="&amp;B15)-COUNTBLANK(($B$10:B14))</f>
        <v>0</v>
      </c>
      <c r="B15" s="29">
        <v>439</v>
      </c>
      <c r="C15" s="29">
        <v>660.14</v>
      </c>
    </row>
    <row r="16" spans="1:12" x14ac:dyDescent="0.25">
      <c r="A16" s="7">
        <f>COUNTIF($B$10:B15,"="&amp;B16)-COUNTBLANK(($B$10:B15))</f>
        <v>0</v>
      </c>
      <c r="B16" s="29">
        <v>441</v>
      </c>
      <c r="C16" s="29">
        <v>4046.58</v>
      </c>
    </row>
    <row r="17" spans="1:8" x14ac:dyDescent="0.25">
      <c r="A17" s="7">
        <f>COUNTIF($B$10:B16,"="&amp;B17)-COUNTBLANK(($B$10:B16))</f>
        <v>0</v>
      </c>
      <c r="B17" s="29">
        <v>459</v>
      </c>
      <c r="C17" s="29">
        <v>4046.58</v>
      </c>
    </row>
    <row r="18" spans="1:8" ht="14.45" x14ac:dyDescent="0.3">
      <c r="A18" s="7">
        <f>COUNTIF($B$10:B17,"="&amp;B18)-COUNTBLANK(($B$10:B17))</f>
        <v>0</v>
      </c>
      <c r="B18" s="29">
        <v>499</v>
      </c>
      <c r="C18" s="29">
        <v>4706.72</v>
      </c>
    </row>
    <row r="19" spans="1:8" ht="14.45" x14ac:dyDescent="0.3">
      <c r="A19" s="7">
        <f>COUNTIF($B$10:B18,"="&amp;B19)-COUNTBLANK(($B$10:B18))</f>
        <v>0</v>
      </c>
      <c r="B19" s="29">
        <v>501</v>
      </c>
      <c r="C19" s="29">
        <v>800</v>
      </c>
    </row>
    <row r="20" spans="1:8" ht="14.45" x14ac:dyDescent="0.3">
      <c r="A20" s="7">
        <f>COUNTIF($B$10:B19,"="&amp;B20)-COUNTBLANK(($B$10:B19))</f>
        <v>0</v>
      </c>
      <c r="B20" s="29">
        <v>505</v>
      </c>
      <c r="C20" s="37">
        <v>800</v>
      </c>
    </row>
    <row r="21" spans="1:8" ht="14.45" x14ac:dyDescent="0.3">
      <c r="A21" s="7">
        <f>COUNTIF($B$10:B20,"="&amp;B21)-COUNTBLANK(($B$10:B20))</f>
        <v>0</v>
      </c>
      <c r="B21" s="29">
        <v>513</v>
      </c>
      <c r="C21" s="37">
        <v>403.85</v>
      </c>
    </row>
    <row r="22" spans="1:8" ht="14.45" x14ac:dyDescent="0.3">
      <c r="A22" s="7">
        <f>COUNTIF($B$10:B21,"="&amp;B22)-COUNTBLANK(($B$10:B21))</f>
        <v>0</v>
      </c>
      <c r="B22" s="29">
        <v>598</v>
      </c>
      <c r="C22" s="37">
        <v>2003.85</v>
      </c>
    </row>
    <row r="23" spans="1:8" ht="14.45" x14ac:dyDescent="0.3">
      <c r="A23" s="7">
        <f>COUNTIF($B$10:B22,"="&amp;B23)-COUNTBLANK(($B$10:B22))</f>
        <v>0</v>
      </c>
      <c r="B23" s="29">
        <v>599</v>
      </c>
      <c r="C23" s="37">
        <v>6710.57</v>
      </c>
    </row>
    <row r="24" spans="1:8" ht="14.45" x14ac:dyDescent="0.3">
      <c r="A24" s="7">
        <f>COUNTIF($B$10:B23,"="&amp;B24)-COUNTBLANK(($B$10:B23))</f>
        <v>0</v>
      </c>
      <c r="B24" s="29">
        <v>601</v>
      </c>
      <c r="C24" s="37">
        <v>19766.400000000001</v>
      </c>
    </row>
    <row r="25" spans="1:8" ht="14.45" x14ac:dyDescent="0.3">
      <c r="A25" s="7">
        <f>COUNTIF($B$10:B24,"="&amp;B25)-COUNTBLANK(($B$10:B24))</f>
        <v>0</v>
      </c>
      <c r="B25" s="29">
        <v>602</v>
      </c>
      <c r="C25" s="37">
        <v>31812.2</v>
      </c>
      <c r="D25" s="30" t="s">
        <v>19</v>
      </c>
      <c r="E25" s="24">
        <f>SUMIF($B$10:$B$200,"=339",$C$10:$C$200)</f>
        <v>6710.57</v>
      </c>
      <c r="F25" s="7"/>
      <c r="G25" s="7"/>
      <c r="H25" s="7"/>
    </row>
    <row r="26" spans="1:8" ht="14.45" x14ac:dyDescent="0.3">
      <c r="A26" s="7">
        <f>COUNTIF($B$10:B25,"="&amp;B26)-COUNTBLANK(($B$10:B25))</f>
        <v>0</v>
      </c>
      <c r="B26" s="29">
        <v>699</v>
      </c>
      <c r="C26" s="37">
        <v>51578.6</v>
      </c>
      <c r="D26" s="30" t="s">
        <v>20</v>
      </c>
      <c r="E26" s="24">
        <f>SUMIF($B$10:$B$200,"=369",$C$10:$C$200)</f>
        <v>0</v>
      </c>
      <c r="F26" s="7"/>
      <c r="G26" s="7"/>
      <c r="H26" s="7"/>
    </row>
    <row r="27" spans="1:8" ht="14.45" x14ac:dyDescent="0.3">
      <c r="A27" s="7">
        <f>COUNTIF($B$10:B26,"="&amp;B27)-COUNTBLANK(($B$10:B26))</f>
        <v>0</v>
      </c>
      <c r="B27" s="29">
        <v>702</v>
      </c>
      <c r="C27" s="37">
        <v>53093.3</v>
      </c>
      <c r="D27" s="30" t="s">
        <v>10</v>
      </c>
      <c r="E27" s="24">
        <f>SUMIF($B$10:$B$200,"=379",$C$10:$C$200)</f>
        <v>0</v>
      </c>
      <c r="F27" s="7"/>
      <c r="G27" s="7"/>
      <c r="H27" s="7"/>
    </row>
    <row r="28" spans="1:8" ht="14.45" x14ac:dyDescent="0.3">
      <c r="A28" s="7">
        <f>COUNTIF($B$10:B27,"="&amp;B28)-COUNTBLANK(($B$10:B27))</f>
        <v>0</v>
      </c>
      <c r="B28" s="29">
        <v>730</v>
      </c>
      <c r="C28" s="37">
        <v>512.22</v>
      </c>
      <c r="D28" s="30" t="s">
        <v>11</v>
      </c>
      <c r="E28" s="24">
        <f>SUMIF($B$10:$B$200,"=397",$C$10:$C$200)</f>
        <v>0</v>
      </c>
      <c r="F28" s="7"/>
      <c r="G28" s="7"/>
      <c r="H28" s="7"/>
    </row>
    <row r="29" spans="1:8" ht="14.45" x14ac:dyDescent="0.3">
      <c r="A29" s="7">
        <f>COUNTIF($B$10:B28,"="&amp;B29)-COUNTBLANK(($B$10:B28))</f>
        <v>0</v>
      </c>
      <c r="B29" s="29">
        <v>797</v>
      </c>
      <c r="C29" s="37">
        <v>53093.3</v>
      </c>
      <c r="D29" s="30" t="s">
        <v>12</v>
      </c>
      <c r="E29" s="24">
        <f>SUMIF($B$10:$B$200,"=399",$C$10:$C$200)</f>
        <v>6710.57</v>
      </c>
      <c r="F29" s="7"/>
      <c r="G29" s="7"/>
      <c r="H29" s="7"/>
    </row>
    <row r="30" spans="1:8" ht="14.45" x14ac:dyDescent="0.3">
      <c r="A30" s="7">
        <f>COUNTIF($B$10:B29,"="&amp;B30)-COUNTBLANK(($B$10:B29))</f>
        <v>0</v>
      </c>
      <c r="B30" s="29">
        <v>798</v>
      </c>
      <c r="C30" s="37">
        <v>512.22</v>
      </c>
      <c r="D30" s="30" t="s">
        <v>13</v>
      </c>
      <c r="E30" s="24">
        <f>SUMIF($B$10:$B$200,"=439",$C$10:$C$200)</f>
        <v>660.14</v>
      </c>
      <c r="F30" s="7"/>
      <c r="G30" s="7"/>
      <c r="H30" s="7"/>
    </row>
    <row r="31" spans="1:8" ht="14.45" x14ac:dyDescent="0.3">
      <c r="A31" s="7">
        <f>COUNTIF($B$10:B30,"="&amp;B31)-COUNTBLANK(($B$10:B30))</f>
        <v>0</v>
      </c>
      <c r="B31" s="29">
        <v>799</v>
      </c>
      <c r="C31" s="37">
        <v>53605.52</v>
      </c>
      <c r="D31" s="30" t="s">
        <v>14</v>
      </c>
      <c r="E31" s="24">
        <f>SUMIF($B$10:$B$200,"=469",$C$10:$C$200)</f>
        <v>0</v>
      </c>
      <c r="F31" s="7"/>
      <c r="G31" s="7"/>
      <c r="H31" s="7"/>
    </row>
    <row r="32" spans="1:8" ht="14.45" x14ac:dyDescent="0.3">
      <c r="A32" s="7">
        <f>COUNTIF($B$10:B31,"="&amp;B32)-COUNTBLANK(($B$10:B31))</f>
        <v>0</v>
      </c>
      <c r="B32" s="29">
        <v>802</v>
      </c>
      <c r="C32" s="37">
        <v>-2026.92</v>
      </c>
      <c r="D32" s="30"/>
      <c r="E32" s="24">
        <f>SUMIF($B$10:$B$200,"=499",$C$10:$C$200)</f>
        <v>4706.72</v>
      </c>
      <c r="F32" s="7"/>
      <c r="G32" s="7"/>
      <c r="H32" s="7"/>
    </row>
    <row r="33" spans="1:8" ht="14.45" x14ac:dyDescent="0.3">
      <c r="A33" s="7">
        <f>COUNTIF($B$10:B32,"="&amp;B33)-COUNTBLANK(($B$10:B32))</f>
        <v>0</v>
      </c>
      <c r="B33" s="29">
        <v>815</v>
      </c>
      <c r="C33" s="37">
        <v>-2026.92</v>
      </c>
      <c r="D33" s="30" t="s">
        <v>17</v>
      </c>
      <c r="E33" s="24">
        <f>SUMIF($B$10:$B$200,"=699",$C$10:$C$200)</f>
        <v>51578.6</v>
      </c>
      <c r="F33" s="7"/>
      <c r="G33" s="7"/>
      <c r="H33" s="7"/>
    </row>
    <row r="34" spans="1:8" ht="14.45" x14ac:dyDescent="0.3">
      <c r="A34" s="7">
        <f>COUNTIF($B$10:B33,"="&amp;B34)-COUNTBLANK(($B$10:B33))</f>
        <v>0</v>
      </c>
      <c r="B34" s="29">
        <v>850</v>
      </c>
      <c r="C34" s="37">
        <v>-2026.92</v>
      </c>
      <c r="D34" s="30" t="s">
        <v>18</v>
      </c>
      <c r="E34" s="24">
        <f>SUMIF($B$10:$B$200,"=799",$C$10:$C$200)</f>
        <v>53605.52</v>
      </c>
      <c r="F34" s="7"/>
      <c r="G34" s="7"/>
      <c r="H34" s="7"/>
    </row>
    <row r="35" spans="1:8" ht="14.45" x14ac:dyDescent="0.3">
      <c r="A35" s="7">
        <f>COUNTIF($B$10:B34,"="&amp;B35)-COUNTBLANK(($B$10:B34))</f>
        <v>0</v>
      </c>
      <c r="B35" s="29"/>
      <c r="C35" s="29"/>
      <c r="D35" s="25"/>
      <c r="E35" s="26"/>
      <c r="F35" s="7"/>
      <c r="G35" s="7"/>
      <c r="H35" s="7"/>
    </row>
    <row r="36" spans="1:8" ht="14.45" x14ac:dyDescent="0.3">
      <c r="A36" s="7">
        <f>COUNTIF($B$10:B35,"="&amp;B36)-COUNTBLANK(($B$10:B35))</f>
        <v>0</v>
      </c>
      <c r="B36" s="29"/>
      <c r="C36" s="29"/>
      <c r="D36" s="6"/>
      <c r="E36" s="7"/>
      <c r="F36" s="7"/>
      <c r="G36" s="7"/>
      <c r="H36" s="7"/>
    </row>
    <row r="37" spans="1:8" ht="14.45" x14ac:dyDescent="0.3">
      <c r="A37" s="7">
        <f>COUNTIF($B$10:B36,"="&amp;B37)-COUNTBLANK(($B$10:B36))</f>
        <v>0</v>
      </c>
      <c r="B37" s="29"/>
      <c r="C37" s="29"/>
      <c r="D37" s="6"/>
      <c r="E37" s="7"/>
      <c r="F37" s="7"/>
      <c r="G37" s="7"/>
      <c r="H37" s="7"/>
    </row>
    <row r="38" spans="1:8" x14ac:dyDescent="0.25">
      <c r="A38" s="7">
        <f>COUNTIF($B$10:B37,"="&amp;B38)-COUNTBLANK(($B$10:B37))</f>
        <v>0</v>
      </c>
      <c r="B38" s="29"/>
      <c r="C38" s="29"/>
      <c r="D38" s="6"/>
      <c r="E38" s="7"/>
      <c r="F38" s="7"/>
      <c r="G38" s="7"/>
      <c r="H38" s="7"/>
    </row>
    <row r="39" spans="1:8" x14ac:dyDescent="0.25">
      <c r="A39" s="7">
        <f>COUNTIF($B$10:B38,"="&amp;B39)-COUNTBLANK(($B$10:B38))</f>
        <v>0</v>
      </c>
      <c r="B39" s="29"/>
      <c r="C39" s="29"/>
      <c r="D39" s="6"/>
      <c r="E39" s="7"/>
      <c r="F39" s="7"/>
      <c r="G39" s="7"/>
      <c r="H39" s="7"/>
    </row>
    <row r="40" spans="1:8" x14ac:dyDescent="0.25">
      <c r="A40" s="7">
        <f>COUNTIF($B$10:B39,"="&amp;B40)-COUNTBLANK(($B$10:B39))</f>
        <v>0</v>
      </c>
      <c r="B40" s="29"/>
      <c r="C40" s="29"/>
      <c r="D40" s="6"/>
      <c r="E40" s="7"/>
      <c r="F40" s="7"/>
      <c r="G40" s="7"/>
      <c r="H40" s="7"/>
    </row>
    <row r="41" spans="1:8" x14ac:dyDescent="0.25">
      <c r="A41" s="7">
        <f>COUNTIF($B$10:B40,"="&amp;B41)-COUNTBLANK(($B$10:B40))</f>
        <v>0</v>
      </c>
      <c r="B41" s="29"/>
      <c r="C41" s="29"/>
      <c r="D41" s="6"/>
      <c r="E41" s="7"/>
      <c r="F41" s="7"/>
      <c r="G41" s="7"/>
      <c r="H41" s="7"/>
    </row>
    <row r="42" spans="1:8" x14ac:dyDescent="0.25">
      <c r="A42" s="7">
        <f>COUNTIF($B$10:B41,"="&amp;B42)-COUNTBLANK(($B$10:B41))</f>
        <v>0</v>
      </c>
      <c r="B42" s="29"/>
      <c r="C42" s="29"/>
      <c r="D42" s="6"/>
      <c r="E42" s="7"/>
      <c r="F42" s="7"/>
      <c r="G42" s="7"/>
      <c r="H42" s="7"/>
    </row>
    <row r="43" spans="1:8" x14ac:dyDescent="0.25">
      <c r="A43" s="7">
        <f>COUNTIF($B$10:B42,"="&amp;B43)-COUNTBLANK(($B$10:B42))</f>
        <v>0</v>
      </c>
      <c r="B43" s="29"/>
      <c r="C43" s="29"/>
      <c r="D43" s="6"/>
      <c r="E43" s="7"/>
      <c r="F43" s="7"/>
      <c r="G43" s="7"/>
      <c r="H43" s="7"/>
    </row>
    <row r="44" spans="1:8" x14ac:dyDescent="0.25">
      <c r="A44" s="7">
        <f>COUNTIF($B$10:B43,"="&amp;B44)-COUNTBLANK(($B$10:B43))</f>
        <v>0</v>
      </c>
      <c r="B44" s="29"/>
      <c r="C44" s="29"/>
      <c r="D44" s="6"/>
      <c r="E44" s="7"/>
      <c r="F44" s="7"/>
      <c r="G44" s="7"/>
      <c r="H44" s="7"/>
    </row>
    <row r="45" spans="1:8" x14ac:dyDescent="0.25">
      <c r="A45" s="7">
        <f>COUNTIF($B$10:B44,"="&amp;B45)-COUNTBLANK(($B$10:B44))</f>
        <v>0</v>
      </c>
      <c r="B45" s="29"/>
      <c r="C45" s="29"/>
      <c r="D45" s="6"/>
      <c r="E45" s="7"/>
      <c r="F45" s="7"/>
      <c r="G45" s="7"/>
      <c r="H45" s="7"/>
    </row>
    <row r="46" spans="1:8" x14ac:dyDescent="0.25">
      <c r="A46" s="7">
        <f>COUNTIF($B$10:B45,"="&amp;B46)-COUNTBLANK(($B$10:B45))</f>
        <v>0</v>
      </c>
      <c r="B46" s="29"/>
      <c r="C46" s="29"/>
      <c r="D46" s="6"/>
      <c r="E46" s="7"/>
      <c r="F46" s="7"/>
      <c r="G46" s="7"/>
      <c r="H46" s="7"/>
    </row>
    <row r="47" spans="1:8" x14ac:dyDescent="0.25">
      <c r="A47" s="7">
        <f>COUNTIF($B$10:B46,"="&amp;B47)-COUNTBLANK(($B$10:B46))</f>
        <v>0</v>
      </c>
      <c r="B47" s="29"/>
      <c r="C47" s="29"/>
      <c r="D47" s="6"/>
      <c r="E47" s="7"/>
      <c r="F47" s="7"/>
      <c r="G47" s="7"/>
      <c r="H47" s="7"/>
    </row>
    <row r="48" spans="1:8" x14ac:dyDescent="0.25">
      <c r="A48" s="7">
        <f>COUNTIF($B$10:B47,"="&amp;B48)-COUNTBLANK(($B$10:B47))</f>
        <v>0</v>
      </c>
      <c r="B48" s="29"/>
      <c r="C48" s="29"/>
      <c r="D48" s="6"/>
      <c r="E48" s="7"/>
      <c r="F48" s="7"/>
      <c r="G48" s="7"/>
      <c r="H48" s="7"/>
    </row>
    <row r="49" spans="1:8" x14ac:dyDescent="0.25">
      <c r="A49" s="7">
        <f>COUNTIF($B$10:B48,"="&amp;B49)-COUNTBLANK(($B$10:B48))</f>
        <v>0</v>
      </c>
      <c r="B49" s="29"/>
      <c r="C49" s="29"/>
      <c r="D49" s="6"/>
      <c r="E49" s="7"/>
      <c r="F49" s="7"/>
      <c r="G49" s="7"/>
      <c r="H49" s="7"/>
    </row>
    <row r="50" spans="1:8" x14ac:dyDescent="0.25">
      <c r="A50" s="7">
        <f>COUNTIF($B$10:B49,"="&amp;B50)-COUNTBLANK(($B$10:B49))</f>
        <v>0</v>
      </c>
      <c r="B50" s="29"/>
      <c r="C50" s="29"/>
      <c r="D50" s="6"/>
      <c r="E50" s="7"/>
      <c r="F50" s="7"/>
      <c r="G50" s="7"/>
      <c r="H50" s="7"/>
    </row>
    <row r="51" spans="1:8" x14ac:dyDescent="0.25">
      <c r="A51" s="7">
        <f>COUNTIF($B$10:B50,"="&amp;B51)-COUNTBLANK(($B$10:B50))</f>
        <v>0</v>
      </c>
      <c r="B51" s="29"/>
      <c r="C51" s="29"/>
      <c r="D51" s="6"/>
      <c r="E51" s="7"/>
      <c r="F51" s="7"/>
      <c r="G51" s="7"/>
      <c r="H51" s="7"/>
    </row>
    <row r="52" spans="1:8" x14ac:dyDescent="0.25">
      <c r="A52" s="7">
        <f>COUNTIF($B$10:B51,"="&amp;B52)-COUNTBLANK(($B$10:B51))</f>
        <v>0</v>
      </c>
      <c r="B52" s="29"/>
      <c r="C52" s="29"/>
      <c r="D52" s="6"/>
      <c r="E52" s="7"/>
      <c r="F52" s="7"/>
      <c r="G52" s="7"/>
      <c r="H52" s="7"/>
    </row>
    <row r="53" spans="1:8" x14ac:dyDescent="0.25">
      <c r="A53" s="7">
        <f>COUNTIF($B$10:B52,"="&amp;B53)-COUNTBLANK(($B$10:B52))</f>
        <v>0</v>
      </c>
      <c r="B53" s="29"/>
      <c r="C53" s="37"/>
      <c r="D53" s="6"/>
      <c r="E53" s="7"/>
      <c r="F53" s="7"/>
      <c r="G53" s="7"/>
      <c r="H53" s="7"/>
    </row>
    <row r="54" spans="1:8" x14ac:dyDescent="0.25">
      <c r="A54" s="7">
        <f>COUNTIF($B$10:B53,"="&amp;B54)-COUNTBLANK(($B$10:B53))</f>
        <v>0</v>
      </c>
      <c r="B54" s="29"/>
      <c r="C54" s="29"/>
      <c r="D54" s="6"/>
      <c r="E54" s="7"/>
      <c r="F54" s="7"/>
      <c r="G54" s="7"/>
      <c r="H54" s="7"/>
    </row>
    <row r="55" spans="1:8" x14ac:dyDescent="0.25">
      <c r="A55" s="7">
        <f>COUNTIF($B$10:B54,"="&amp;B55)-COUNTBLANK(($B$10:B54))</f>
        <v>0</v>
      </c>
      <c r="B55" s="29"/>
      <c r="C55" s="29"/>
      <c r="D55" s="6"/>
      <c r="E55" s="7"/>
      <c r="F55" s="7"/>
      <c r="G55" s="7"/>
      <c r="H55" s="7"/>
    </row>
    <row r="56" spans="1:8" x14ac:dyDescent="0.25">
      <c r="A56" s="7">
        <f>COUNTIF($B$10:B55,"="&amp;B56)-COUNTBLANK(($B$10:B55))</f>
        <v>0</v>
      </c>
      <c r="B56" s="29"/>
      <c r="C56" s="29"/>
      <c r="D56" s="6"/>
      <c r="E56" s="7"/>
      <c r="F56" s="7"/>
      <c r="G56" s="7"/>
      <c r="H56" s="7"/>
    </row>
    <row r="57" spans="1:8" x14ac:dyDescent="0.25">
      <c r="A57" s="7">
        <f>COUNTIF($B$10:B56,"="&amp;B57)-COUNTBLANK(($B$10:B56))</f>
        <v>0</v>
      </c>
      <c r="B57" s="29"/>
      <c r="C57" s="29"/>
      <c r="D57" s="6"/>
      <c r="E57" s="7"/>
      <c r="F57" s="7"/>
      <c r="G57" s="7"/>
      <c r="H57" s="7"/>
    </row>
    <row r="58" spans="1:8" x14ac:dyDescent="0.25">
      <c r="A58" s="7">
        <f>COUNTIF($B$10:B57,"="&amp;B58)-COUNTBLANK(($B$10:B57))</f>
        <v>0</v>
      </c>
      <c r="B58" s="29"/>
      <c r="C58" s="29"/>
      <c r="D58" s="6"/>
      <c r="E58" s="7"/>
      <c r="F58" s="7"/>
      <c r="G58" s="7"/>
      <c r="H58" s="7"/>
    </row>
    <row r="59" spans="1:8" x14ac:dyDescent="0.25">
      <c r="A59" s="7">
        <f>COUNTIF($B$10:B58,"="&amp;B59)-COUNTBLANK(($B$10:B58))</f>
        <v>0</v>
      </c>
      <c r="B59" s="29"/>
      <c r="C59" s="29"/>
      <c r="D59" s="6"/>
      <c r="E59" s="7"/>
      <c r="F59" s="7"/>
      <c r="G59" s="7"/>
      <c r="H59" s="7"/>
    </row>
    <row r="60" spans="1:8" x14ac:dyDescent="0.25">
      <c r="A60" s="7">
        <f>COUNTIF($B$10:B59,"="&amp;B60)-COUNTBLANK(($B$10:B59))</f>
        <v>0</v>
      </c>
      <c r="B60" s="29"/>
      <c r="C60" s="29"/>
      <c r="D60" s="6"/>
      <c r="E60" s="7"/>
      <c r="F60" s="7"/>
      <c r="G60" s="7"/>
      <c r="H60" s="7"/>
    </row>
    <row r="61" spans="1:8" x14ac:dyDescent="0.25">
      <c r="A61" s="7">
        <f>COUNTIF($B$10:B60,"="&amp;B61)-COUNTBLANK(($B$10:B60))</f>
        <v>0</v>
      </c>
      <c r="B61" s="29"/>
      <c r="C61" s="29"/>
      <c r="D61" s="6"/>
      <c r="E61" s="7"/>
      <c r="F61" s="7"/>
      <c r="G61" s="7"/>
      <c r="H61" s="7"/>
    </row>
    <row r="62" spans="1:8" x14ac:dyDescent="0.25">
      <c r="A62" s="7">
        <f>COUNTIF($B$10:B61,"="&amp;B62)-COUNTBLANK(($B$10:B61))</f>
        <v>0</v>
      </c>
      <c r="B62" s="29"/>
      <c r="C62" s="29"/>
      <c r="D62" s="6"/>
      <c r="E62" s="7"/>
      <c r="F62" s="7"/>
      <c r="G62" s="7"/>
      <c r="H62" s="7"/>
    </row>
    <row r="63" spans="1:8" x14ac:dyDescent="0.25">
      <c r="A63" s="7">
        <f>COUNTIF($B$10:B62,"="&amp;B63)-COUNTBLANK(($B$10:B62))</f>
        <v>0</v>
      </c>
      <c r="B63" s="29"/>
      <c r="C63" s="29"/>
      <c r="D63" s="6"/>
      <c r="E63" s="7"/>
      <c r="F63" s="7"/>
      <c r="G63" s="7"/>
      <c r="H63" s="7"/>
    </row>
    <row r="64" spans="1:8" x14ac:dyDescent="0.25">
      <c r="A64" s="7">
        <f>COUNTIF($B$10:B63,"="&amp;B64)-COUNTBLANK(($B$10:B63))</f>
        <v>0</v>
      </c>
      <c r="B64" s="29"/>
      <c r="C64" s="29"/>
      <c r="D64" s="6"/>
      <c r="E64" s="7"/>
      <c r="F64" s="7"/>
      <c r="G64" s="7"/>
      <c r="H64" s="7"/>
    </row>
    <row r="65" spans="1:8" x14ac:dyDescent="0.25">
      <c r="A65" s="7">
        <f>COUNTIF($B$10:B64,"="&amp;B65)-COUNTBLANK(($B$10:B64))</f>
        <v>0</v>
      </c>
      <c r="B65" s="29"/>
      <c r="C65" s="29"/>
      <c r="D65" s="6"/>
      <c r="E65" s="7"/>
      <c r="F65" s="7"/>
      <c r="G65" s="7"/>
      <c r="H65" s="7"/>
    </row>
    <row r="66" spans="1:8" x14ac:dyDescent="0.25">
      <c r="A66" s="7">
        <f>COUNTIF($B$10:B65,"="&amp;B66)-COUNTBLANK(($B$10:B65))</f>
        <v>0</v>
      </c>
      <c r="B66" s="29"/>
      <c r="C66" s="29"/>
      <c r="D66" s="6"/>
      <c r="E66" s="7"/>
      <c r="F66" s="7"/>
      <c r="G66" s="7"/>
      <c r="H66" s="7"/>
    </row>
    <row r="67" spans="1:8" x14ac:dyDescent="0.25">
      <c r="A67" s="7">
        <f>COUNTIF($B$10:B66,"="&amp;B67)-COUNTBLANK(($B$10:B66))</f>
        <v>0</v>
      </c>
      <c r="B67" s="29"/>
      <c r="C67" s="29"/>
      <c r="D67" s="6"/>
      <c r="E67" s="7"/>
      <c r="F67" s="7"/>
      <c r="G67" s="7"/>
      <c r="H67" s="7"/>
    </row>
    <row r="68" spans="1:8" x14ac:dyDescent="0.25">
      <c r="A68" s="7">
        <f>COUNTIF($B$10:B67,"="&amp;B68)-COUNTBLANK(($B$10:B67))</f>
        <v>0</v>
      </c>
      <c r="B68" s="29"/>
      <c r="C68" s="29"/>
      <c r="D68" s="6"/>
      <c r="E68" s="7"/>
      <c r="F68" s="7"/>
      <c r="G68" s="7"/>
      <c r="H68" s="7"/>
    </row>
    <row r="69" spans="1:8" x14ac:dyDescent="0.25">
      <c r="A69" s="7">
        <f>COUNTIF($B$10:B68,"="&amp;B69)-COUNTBLANK(($B$10:B68))</f>
        <v>0</v>
      </c>
      <c r="B69" s="29"/>
      <c r="C69" s="29"/>
      <c r="D69" s="6"/>
      <c r="E69" s="7"/>
      <c r="F69" s="7"/>
      <c r="G69" s="7"/>
      <c r="H69" s="7"/>
    </row>
    <row r="70" spans="1:8" x14ac:dyDescent="0.25">
      <c r="A70" s="7">
        <f>COUNTIF($B$10:B69,"="&amp;B70)-COUNTBLANK(($B$10:B69))</f>
        <v>0</v>
      </c>
      <c r="B70" s="29"/>
      <c r="C70" s="29"/>
      <c r="D70" s="6"/>
      <c r="E70" s="7"/>
      <c r="F70" s="7"/>
      <c r="G70" s="7"/>
      <c r="H70" s="7"/>
    </row>
    <row r="71" spans="1:8" x14ac:dyDescent="0.25">
      <c r="A71" s="7">
        <f>COUNTIF($B$10:B70,"="&amp;B71)-COUNTBLANK(($B$10:B70))</f>
        <v>0</v>
      </c>
      <c r="B71" s="29"/>
      <c r="C71" s="29"/>
      <c r="D71" s="6"/>
      <c r="E71" s="7"/>
      <c r="F71" s="7"/>
      <c r="G71" s="7"/>
      <c r="H71" s="7"/>
    </row>
    <row r="72" spans="1:8" x14ac:dyDescent="0.25">
      <c r="A72" s="7">
        <f>COUNTIF($B$10:B71,"="&amp;B72)-COUNTBLANK(($B$10:B71))</f>
        <v>0</v>
      </c>
      <c r="B72" s="29"/>
      <c r="C72" s="29"/>
      <c r="D72" s="6"/>
      <c r="E72" s="7"/>
      <c r="F72" s="7"/>
      <c r="G72" s="7"/>
      <c r="H72" s="7"/>
    </row>
    <row r="73" spans="1:8" x14ac:dyDescent="0.25">
      <c r="A73" s="7">
        <f>COUNTIF($B$10:B72,"="&amp;B73)-COUNTBLANK(($B$10:B72))</f>
        <v>0</v>
      </c>
      <c r="B73" s="29"/>
      <c r="C73" s="29"/>
      <c r="D73" s="6"/>
      <c r="E73" s="7"/>
      <c r="F73" s="7"/>
      <c r="G73" s="7"/>
      <c r="H73" s="7"/>
    </row>
    <row r="74" spans="1:8" x14ac:dyDescent="0.25">
      <c r="A74" s="7">
        <f>COUNTIF($B$10:B73,"="&amp;B74)-COUNTBLANK(($B$10:B73))</f>
        <v>0</v>
      </c>
      <c r="B74" s="29"/>
      <c r="C74" s="29"/>
      <c r="D74" s="6"/>
      <c r="E74" s="7"/>
      <c r="F74" s="7"/>
      <c r="G74" s="7"/>
      <c r="H74" s="7"/>
    </row>
    <row r="75" spans="1:8" x14ac:dyDescent="0.25">
      <c r="A75" s="7">
        <f>COUNTIF($B$10:B74,"="&amp;B75)-COUNTBLANK(($B$10:B74))</f>
        <v>0</v>
      </c>
      <c r="B75" s="29"/>
      <c r="C75" s="29"/>
      <c r="D75" s="6"/>
      <c r="E75" s="7"/>
      <c r="F75" s="7"/>
      <c r="G75" s="7"/>
      <c r="H75" s="7"/>
    </row>
    <row r="76" spans="1:8" x14ac:dyDescent="0.25">
      <c r="A76" s="7">
        <f>COUNTIF($B$10:B75,"="&amp;B76)-COUNTBLANK(($B$10:B75))</f>
        <v>0</v>
      </c>
      <c r="B76" s="29"/>
      <c r="C76" s="29"/>
      <c r="D76" s="6"/>
      <c r="E76" s="7"/>
      <c r="F76" s="7"/>
      <c r="G76" s="7"/>
      <c r="H76" s="7"/>
    </row>
    <row r="77" spans="1:8" x14ac:dyDescent="0.25">
      <c r="A77" s="7">
        <f>COUNTIF($B$10:B76,"="&amp;B77)-COUNTBLANK(($B$10:B76))</f>
        <v>0</v>
      </c>
      <c r="B77" s="29"/>
      <c r="C77" s="29"/>
      <c r="D77" s="6"/>
      <c r="E77" s="7"/>
      <c r="F77" s="7"/>
      <c r="G77" s="7"/>
      <c r="H77" s="7"/>
    </row>
    <row r="78" spans="1:8" x14ac:dyDescent="0.25">
      <c r="A78" s="7">
        <f>COUNTIF($B$10:B77,"="&amp;B78)-COUNTBLANK(($B$10:B77))</f>
        <v>0</v>
      </c>
      <c r="B78" s="29"/>
      <c r="C78" s="29"/>
      <c r="D78" s="6"/>
      <c r="E78" s="7"/>
      <c r="F78" s="7"/>
      <c r="G78" s="7"/>
      <c r="H78" s="7"/>
    </row>
    <row r="79" spans="1:8" x14ac:dyDescent="0.25">
      <c r="A79" s="7">
        <f>COUNTIF($B$10:B78,"="&amp;B79)-COUNTBLANK(($B$10:B78))</f>
        <v>0</v>
      </c>
      <c r="B79" s="29"/>
      <c r="C79" s="29"/>
      <c r="D79" s="6"/>
      <c r="E79" s="7"/>
      <c r="F79" s="7"/>
      <c r="G79" s="7"/>
      <c r="H79" s="7"/>
    </row>
    <row r="80" spans="1:8" x14ac:dyDescent="0.25">
      <c r="A80" s="7">
        <f>COUNTIF($B$10:B79,"="&amp;B80)-COUNTBLANK(($B$10:B79))</f>
        <v>0</v>
      </c>
      <c r="B80" s="29"/>
      <c r="C80" s="29"/>
      <c r="D80" s="6"/>
      <c r="E80" s="7"/>
      <c r="F80" s="7"/>
      <c r="G80" s="7"/>
      <c r="H80" s="7"/>
    </row>
    <row r="81" spans="1:8" x14ac:dyDescent="0.25">
      <c r="A81" s="7">
        <f>COUNTIF($B$10:B80,"="&amp;B81)-COUNTBLANK(($B$10:B80))</f>
        <v>0</v>
      </c>
      <c r="B81" s="29"/>
      <c r="C81" s="29"/>
      <c r="D81" s="6"/>
      <c r="E81" s="7"/>
      <c r="F81" s="7"/>
      <c r="G81" s="7"/>
      <c r="H81" s="7"/>
    </row>
    <row r="82" spans="1:8" x14ac:dyDescent="0.25">
      <c r="A82" s="7">
        <f>COUNTIF($B$10:B81,"="&amp;B82)-COUNTBLANK(($B$10:B81))</f>
        <v>0</v>
      </c>
      <c r="B82" s="29"/>
      <c r="C82" s="29"/>
      <c r="D82" s="6"/>
      <c r="E82" s="7"/>
      <c r="F82" s="7"/>
      <c r="G82" s="7"/>
      <c r="H82" s="7"/>
    </row>
    <row r="83" spans="1:8" x14ac:dyDescent="0.25">
      <c r="A83" s="7">
        <f>COUNTIF($B$10:B82,"="&amp;B83)-COUNTBLANK(($B$10:B82))</f>
        <v>0</v>
      </c>
      <c r="B83" s="29"/>
      <c r="C83" s="29"/>
      <c r="D83" s="6"/>
      <c r="E83" s="7"/>
      <c r="F83" s="7"/>
      <c r="G83" s="7"/>
      <c r="H83" s="7"/>
    </row>
    <row r="84" spans="1:8" x14ac:dyDescent="0.25">
      <c r="A84" s="7">
        <f>COUNTIF($B$10:B83,"="&amp;B84)-COUNTBLANK(($B$10:B83))</f>
        <v>0</v>
      </c>
      <c r="B84" s="29"/>
      <c r="C84" s="29"/>
      <c r="D84" s="6"/>
      <c r="E84" s="7"/>
      <c r="F84" s="7"/>
      <c r="G84" s="7"/>
      <c r="H84" s="7"/>
    </row>
    <row r="85" spans="1:8" x14ac:dyDescent="0.25">
      <c r="A85" s="7">
        <f>COUNTIF($B$10:B84,"="&amp;B85)-COUNTBLANK(($B$10:B84))</f>
        <v>0</v>
      </c>
      <c r="B85" s="29"/>
      <c r="C85" s="29"/>
      <c r="D85" s="6"/>
      <c r="E85" s="7"/>
      <c r="F85" s="7"/>
      <c r="G85" s="7"/>
      <c r="H85" s="7"/>
    </row>
    <row r="86" spans="1:8" x14ac:dyDescent="0.25">
      <c r="A86" s="7">
        <f>COUNTIF($B$10:B85,"="&amp;B86)-COUNTBLANK(($B$10:B85))</f>
        <v>0</v>
      </c>
      <c r="B86" s="29"/>
      <c r="C86" s="29"/>
      <c r="D86" s="6"/>
      <c r="E86" s="7"/>
      <c r="F86" s="7"/>
      <c r="G86" s="7"/>
      <c r="H86" s="7"/>
    </row>
    <row r="87" spans="1:8" x14ac:dyDescent="0.25">
      <c r="A87" s="7">
        <f>COUNTIF($B$10:B86,"="&amp;B87)-COUNTBLANK(($B$10:B86))</f>
        <v>0</v>
      </c>
      <c r="B87" s="29"/>
      <c r="C87" s="29"/>
      <c r="D87" s="6"/>
      <c r="E87" s="7"/>
      <c r="F87" s="7"/>
      <c r="G87" s="7"/>
      <c r="H87" s="7"/>
    </row>
    <row r="88" spans="1:8" x14ac:dyDescent="0.25">
      <c r="A88" s="7">
        <f>COUNTIF($B$10:B87,"="&amp;B88)-COUNTBLANK(($B$10:B87))</f>
        <v>0</v>
      </c>
      <c r="B88" s="29"/>
      <c r="C88" s="29"/>
      <c r="D88" s="6"/>
      <c r="E88" s="7"/>
      <c r="F88" s="7"/>
      <c r="G88" s="7"/>
      <c r="H88" s="7"/>
    </row>
    <row r="89" spans="1:8" x14ac:dyDescent="0.25">
      <c r="A89" s="7">
        <f>COUNTIF($B$10:B88,"="&amp;B89)-COUNTBLANK(($B$10:B88))</f>
        <v>0</v>
      </c>
      <c r="B89" s="29"/>
      <c r="C89" s="29"/>
      <c r="D89" s="6"/>
      <c r="E89" s="7"/>
      <c r="F89" s="7"/>
      <c r="G89" s="7"/>
      <c r="H89" s="7"/>
    </row>
    <row r="90" spans="1:8" x14ac:dyDescent="0.25">
      <c r="A90" s="7">
        <f>COUNTIF($B$10:B89,"="&amp;B90)-COUNTBLANK(($B$10:B89))</f>
        <v>0</v>
      </c>
      <c r="B90" s="29"/>
      <c r="C90" s="29"/>
      <c r="D90" s="6"/>
      <c r="E90" s="7"/>
      <c r="F90" s="7"/>
      <c r="G90" s="7"/>
      <c r="H90" s="7"/>
    </row>
    <row r="91" spans="1:8" x14ac:dyDescent="0.25">
      <c r="A91" s="7">
        <f>COUNTIF($B$10:B90,"="&amp;B91)-COUNTBLANK(($B$10:B90))</f>
        <v>0</v>
      </c>
      <c r="B91" s="29"/>
      <c r="C91" s="29"/>
      <c r="D91" s="6"/>
      <c r="E91" s="7"/>
      <c r="F91" s="7"/>
      <c r="G91" s="7"/>
      <c r="H91" s="7"/>
    </row>
    <row r="92" spans="1:8" x14ac:dyDescent="0.25">
      <c r="A92" s="7">
        <f>COUNTIF($B$10:B91,"="&amp;B92)-COUNTBLANK(($B$10:B91))</f>
        <v>0</v>
      </c>
      <c r="B92" s="29"/>
      <c r="C92" s="29"/>
      <c r="D92" s="6"/>
      <c r="E92" s="7"/>
      <c r="F92" s="7"/>
      <c r="G92" s="7"/>
      <c r="H92" s="7"/>
    </row>
    <row r="93" spans="1:8" x14ac:dyDescent="0.25">
      <c r="A93" s="7">
        <f>COUNTIF($B$10:B92,"="&amp;B93)-COUNTBLANK(($B$10:B92))</f>
        <v>0</v>
      </c>
      <c r="B93" s="29"/>
      <c r="C93" s="29"/>
      <c r="D93" s="6"/>
      <c r="E93" s="7"/>
      <c r="F93" s="7"/>
      <c r="G93" s="7"/>
      <c r="H93" s="7"/>
    </row>
    <row r="94" spans="1:8" x14ac:dyDescent="0.25">
      <c r="A94" s="7">
        <f>COUNTIF($B$10:B93,"="&amp;B94)-COUNTBLANK(($B$10:B93))</f>
        <v>0</v>
      </c>
      <c r="B94" s="29"/>
      <c r="C94" s="29"/>
      <c r="D94" s="6"/>
      <c r="E94" s="7"/>
      <c r="F94" s="7"/>
      <c r="G94" s="7"/>
      <c r="H94" s="7"/>
    </row>
    <row r="95" spans="1:8" x14ac:dyDescent="0.25">
      <c r="A95" s="7">
        <f>COUNTIF($B$10:B94,"="&amp;B95)-COUNTBLANK(($B$10:B94))</f>
        <v>0</v>
      </c>
      <c r="B95" s="29"/>
      <c r="C95" s="29"/>
      <c r="D95" s="6"/>
      <c r="E95" s="7"/>
      <c r="F95" s="7"/>
      <c r="G95" s="7"/>
      <c r="H95" s="7"/>
    </row>
    <row r="96" spans="1:8" x14ac:dyDescent="0.25">
      <c r="A96" s="7">
        <f>COUNTIF($B$10:B95,"="&amp;B96)-COUNTBLANK(($B$10:B95))</f>
        <v>0</v>
      </c>
      <c r="B96" s="29"/>
      <c r="C96" s="29"/>
      <c r="D96" s="6"/>
      <c r="E96" s="7"/>
      <c r="F96" s="7"/>
      <c r="G96" s="7"/>
      <c r="H96" s="7"/>
    </row>
    <row r="97" spans="1:8" x14ac:dyDescent="0.25">
      <c r="A97" s="7">
        <f>COUNTIF($B$10:B96,"="&amp;B97)-COUNTBLANK(($B$10:B96))</f>
        <v>0</v>
      </c>
      <c r="B97" s="29"/>
      <c r="C97" s="29"/>
      <c r="D97" s="6"/>
      <c r="E97" s="7"/>
      <c r="F97" s="7"/>
      <c r="G97" s="7"/>
      <c r="H97" s="7"/>
    </row>
    <row r="98" spans="1:8" x14ac:dyDescent="0.25">
      <c r="A98" s="7">
        <f>COUNTIF($B$10:B97,"="&amp;B98)-COUNTBLANK(($B$10:B97))</f>
        <v>0</v>
      </c>
      <c r="B98" s="29"/>
      <c r="C98" s="29"/>
      <c r="D98" s="6"/>
      <c r="E98" s="7"/>
      <c r="F98" s="7"/>
      <c r="G98" s="7"/>
      <c r="H98" s="7"/>
    </row>
    <row r="99" spans="1:8" x14ac:dyDescent="0.25">
      <c r="A99" s="7">
        <f>COUNTIF($B$10:B98,"="&amp;B99)-COUNTBLANK(($B$10:B98))</f>
        <v>0</v>
      </c>
      <c r="B99" s="29"/>
      <c r="C99" s="29"/>
      <c r="D99" s="6"/>
      <c r="E99" s="7"/>
      <c r="F99" s="7"/>
      <c r="G99" s="7"/>
      <c r="H99" s="7"/>
    </row>
    <row r="100" spans="1:8" x14ac:dyDescent="0.25">
      <c r="A100" s="7">
        <f>COUNTIF($B$10:B99,"="&amp;B100)-COUNTBLANK(($B$10:B99))</f>
        <v>0</v>
      </c>
      <c r="B100" s="29"/>
      <c r="C100" s="29"/>
      <c r="D100" s="6"/>
      <c r="E100" s="7"/>
      <c r="F100" s="7"/>
      <c r="G100" s="7"/>
      <c r="H100" s="7"/>
    </row>
    <row r="101" spans="1:8" x14ac:dyDescent="0.25">
      <c r="A101" s="7">
        <f>COUNTIF($B$10:B100,"="&amp;B101)-COUNTBLANK(($B$10:B100))</f>
        <v>0</v>
      </c>
      <c r="B101" s="29"/>
      <c r="C101" s="29"/>
      <c r="D101" s="6"/>
      <c r="E101" s="7"/>
      <c r="F101" s="7"/>
      <c r="G101" s="7"/>
      <c r="H101" s="7"/>
    </row>
    <row r="102" spans="1:8" x14ac:dyDescent="0.25">
      <c r="A102" s="7">
        <f>COUNTIF($B$10:B101,"="&amp;B102)-COUNTBLANK(($B$10:B101))</f>
        <v>0</v>
      </c>
      <c r="B102" s="29"/>
      <c r="C102" s="29"/>
      <c r="D102" s="6"/>
      <c r="E102" s="7"/>
      <c r="F102" s="7"/>
      <c r="G102" s="7"/>
      <c r="H102" s="7"/>
    </row>
    <row r="103" spans="1:8" x14ac:dyDescent="0.25">
      <c r="A103" s="7">
        <f>COUNTIF($B$10:B102,"="&amp;B103)-COUNTBLANK(($B$10:B102))</f>
        <v>0</v>
      </c>
      <c r="B103" s="29"/>
      <c r="C103" s="29"/>
      <c r="D103" s="6"/>
      <c r="E103" s="7"/>
      <c r="F103" s="7"/>
      <c r="G103" s="7"/>
      <c r="H103" s="7"/>
    </row>
    <row r="104" spans="1:8" x14ac:dyDescent="0.25">
      <c r="A104" s="7">
        <f>COUNTIF($B$10:B103,"="&amp;B104)-COUNTBLANK(($B$10:B103))</f>
        <v>0</v>
      </c>
      <c r="B104" s="29"/>
      <c r="C104" s="29"/>
      <c r="D104" s="6"/>
      <c r="E104" s="7"/>
      <c r="F104" s="7"/>
      <c r="G104" s="7"/>
      <c r="H104" s="7"/>
    </row>
    <row r="105" spans="1:8" x14ac:dyDescent="0.25">
      <c r="A105" s="7">
        <f>COUNTIF($B$10:B104,"="&amp;B105)-COUNTBLANK(($B$10:B104))</f>
        <v>0</v>
      </c>
      <c r="B105" s="29"/>
      <c r="C105" s="29"/>
      <c r="D105" s="6"/>
      <c r="E105" s="7"/>
      <c r="F105" s="7"/>
      <c r="G105" s="7"/>
      <c r="H105" s="7"/>
    </row>
    <row r="106" spans="1:8" x14ac:dyDescent="0.25">
      <c r="A106" s="7">
        <f>COUNTIF($B$10:B105,"="&amp;B106)-COUNTBLANK(($B$10:B105))</f>
        <v>0</v>
      </c>
      <c r="B106" s="29"/>
      <c r="C106" s="29"/>
      <c r="D106" s="6"/>
      <c r="E106" s="7"/>
      <c r="F106" s="7"/>
      <c r="G106" s="7"/>
      <c r="H106" s="7"/>
    </row>
    <row r="107" spans="1:8" x14ac:dyDescent="0.25">
      <c r="A107" s="7">
        <f>COUNTIF($B$10:B106,"="&amp;B107)-COUNTBLANK(($B$10:B106))</f>
        <v>0</v>
      </c>
      <c r="B107" s="29"/>
      <c r="C107" s="29"/>
      <c r="D107" s="6"/>
      <c r="E107" s="7"/>
      <c r="F107" s="7"/>
      <c r="G107" s="7"/>
      <c r="H107" s="7"/>
    </row>
    <row r="108" spans="1:8" x14ac:dyDescent="0.25">
      <c r="A108" s="7">
        <f>COUNTIF($B$10:B107,"="&amp;B108)-COUNTBLANK(($B$10:B107))</f>
        <v>0</v>
      </c>
      <c r="B108" s="29"/>
      <c r="C108" s="29"/>
      <c r="D108" s="6"/>
      <c r="E108" s="7"/>
      <c r="F108" s="7"/>
      <c r="G108" s="7"/>
      <c r="H108" s="7"/>
    </row>
    <row r="109" spans="1:8" x14ac:dyDescent="0.25">
      <c r="A109" s="7">
        <f>COUNTIF($B$10:B108,"="&amp;B109)-COUNTBLANK(($B$10:B108))</f>
        <v>0</v>
      </c>
      <c r="B109" s="29"/>
      <c r="C109" s="29"/>
      <c r="D109" s="6"/>
      <c r="E109" s="7"/>
      <c r="F109" s="7"/>
      <c r="G109" s="7"/>
      <c r="H109" s="7"/>
    </row>
    <row r="110" spans="1:8" x14ac:dyDescent="0.25">
      <c r="A110" s="7">
        <f>COUNTIF($B$10:B109,"="&amp;B110)-COUNTBLANK(($B$10:B109))</f>
        <v>0</v>
      </c>
      <c r="B110" s="29"/>
      <c r="C110" s="29"/>
      <c r="D110" s="6"/>
      <c r="E110" s="7"/>
      <c r="F110" s="7"/>
      <c r="G110" s="7"/>
      <c r="H110" s="7"/>
    </row>
    <row r="111" spans="1:8" x14ac:dyDescent="0.25">
      <c r="A111" s="7">
        <f>COUNTIF($B$10:B110,"="&amp;B111)-COUNTBLANK(($B$10:B110))</f>
        <v>0</v>
      </c>
      <c r="B111" s="29"/>
      <c r="C111" s="29"/>
      <c r="D111" s="6"/>
      <c r="E111" s="7"/>
      <c r="F111" s="7"/>
      <c r="G111" s="7"/>
      <c r="H111" s="7"/>
    </row>
    <row r="112" spans="1:8" x14ac:dyDescent="0.25">
      <c r="A112" s="7">
        <f>COUNTIF($B$10:B111,"="&amp;B112)-COUNTBLANK(($B$10:B111))</f>
        <v>0</v>
      </c>
      <c r="B112" s="29"/>
      <c r="C112" s="29"/>
      <c r="D112" s="6"/>
      <c r="E112" s="7"/>
      <c r="F112" s="7"/>
      <c r="G112" s="7"/>
      <c r="H112" s="7"/>
    </row>
    <row r="113" spans="1:8" x14ac:dyDescent="0.25">
      <c r="A113" s="7">
        <f>COUNTIF($B$10:B112,"="&amp;B113)-COUNTBLANK(($B$10:B112))</f>
        <v>0</v>
      </c>
      <c r="B113" s="29"/>
      <c r="C113" s="29"/>
      <c r="D113" s="6"/>
      <c r="E113" s="7"/>
      <c r="F113" s="7"/>
      <c r="G113" s="7"/>
      <c r="H113" s="7"/>
    </row>
    <row r="114" spans="1:8" x14ac:dyDescent="0.25">
      <c r="A114" s="7">
        <f>COUNTIF($B$10:B113,"="&amp;B114)-COUNTBLANK(($B$10:B113))</f>
        <v>0</v>
      </c>
      <c r="B114" s="29"/>
      <c r="C114" s="29"/>
      <c r="D114" s="6"/>
      <c r="E114" s="7"/>
      <c r="F114" s="7"/>
      <c r="G114" s="7"/>
      <c r="H114" s="7"/>
    </row>
    <row r="115" spans="1:8" x14ac:dyDescent="0.25">
      <c r="A115" s="7">
        <f>COUNTIF($B$10:B114,"="&amp;B115)-COUNTBLANK(($B$10:B114))</f>
        <v>0</v>
      </c>
      <c r="B115" s="29"/>
      <c r="C115" s="29"/>
      <c r="D115" s="6"/>
      <c r="E115" s="7"/>
      <c r="F115" s="7"/>
      <c r="G115" s="7"/>
      <c r="H115" s="7"/>
    </row>
    <row r="116" spans="1:8" x14ac:dyDescent="0.25">
      <c r="A116" s="7">
        <f>COUNTIF($B$10:B115,"="&amp;B116)-COUNTBLANK(($B$10:B115))</f>
        <v>0</v>
      </c>
      <c r="B116" s="29"/>
      <c r="C116" s="29"/>
      <c r="D116" s="6"/>
      <c r="E116" s="7"/>
      <c r="F116" s="7"/>
      <c r="G116" s="7"/>
      <c r="H116" s="7"/>
    </row>
    <row r="117" spans="1:8" x14ac:dyDescent="0.25">
      <c r="A117" s="7">
        <f>COUNTIF($B$10:B116,"="&amp;B117)-COUNTBLANK(($B$10:B116))</f>
        <v>0</v>
      </c>
      <c r="B117" s="29"/>
      <c r="C117" s="29"/>
      <c r="D117" s="6"/>
      <c r="E117" s="7"/>
      <c r="F117" s="7"/>
      <c r="G117" s="7"/>
      <c r="H117" s="7"/>
    </row>
    <row r="118" spans="1:8" x14ac:dyDescent="0.25">
      <c r="A118" s="7">
        <f>COUNTIF($B$10:B117,"="&amp;B118)-COUNTBLANK(($B$10:B117))</f>
        <v>0</v>
      </c>
      <c r="B118" s="29"/>
      <c r="C118" s="29"/>
      <c r="D118" s="6"/>
      <c r="E118" s="7"/>
      <c r="F118" s="7"/>
      <c r="G118" s="7"/>
      <c r="H118" s="7"/>
    </row>
    <row r="119" spans="1:8" x14ac:dyDescent="0.25">
      <c r="A119" s="7">
        <f>COUNTIF($B$10:B118,"="&amp;B119)-COUNTBLANK(($B$10:B118))</f>
        <v>0</v>
      </c>
      <c r="B119" s="29"/>
      <c r="C119" s="29"/>
      <c r="D119" s="6"/>
      <c r="E119" s="7"/>
      <c r="F119" s="7"/>
      <c r="G119" s="7"/>
      <c r="H119" s="7"/>
    </row>
    <row r="120" spans="1:8" x14ac:dyDescent="0.25">
      <c r="A120" s="7">
        <f>COUNTIF($B$10:B119,"="&amp;B120)-COUNTBLANK(($B$10:B119))</f>
        <v>0</v>
      </c>
      <c r="B120" s="29"/>
      <c r="C120" s="29"/>
      <c r="D120" s="6"/>
      <c r="E120" s="7"/>
      <c r="F120" s="7"/>
      <c r="G120" s="7"/>
      <c r="H120" s="7"/>
    </row>
    <row r="121" spans="1:8" x14ac:dyDescent="0.25">
      <c r="A121" s="7">
        <f>COUNTIF($B$10:B120,"="&amp;B121)-COUNTBLANK(($B$10:B120))</f>
        <v>0</v>
      </c>
      <c r="B121" s="29"/>
      <c r="C121" s="29"/>
      <c r="D121" s="6"/>
      <c r="E121" s="7"/>
      <c r="F121" s="7"/>
      <c r="G121" s="7"/>
      <c r="H121" s="7"/>
    </row>
    <row r="122" spans="1:8" x14ac:dyDescent="0.25">
      <c r="A122" s="7">
        <f>COUNTIF($B$10:B121,"="&amp;B122)-COUNTBLANK(($B$10:B121))</f>
        <v>0</v>
      </c>
      <c r="B122" s="29"/>
      <c r="C122" s="29"/>
      <c r="D122" s="6"/>
      <c r="E122" s="7"/>
      <c r="F122" s="7"/>
      <c r="G122" s="7"/>
      <c r="H122" s="7"/>
    </row>
    <row r="123" spans="1:8" x14ac:dyDescent="0.25">
      <c r="A123" s="7">
        <f>COUNTIF($B$10:B122,"="&amp;B123)-COUNTBLANK(($B$10:B122))</f>
        <v>0</v>
      </c>
      <c r="B123" s="29"/>
      <c r="C123" s="29"/>
      <c r="D123" s="6"/>
      <c r="E123" s="7"/>
      <c r="F123" s="7"/>
      <c r="G123" s="7"/>
      <c r="H123" s="7"/>
    </row>
    <row r="124" spans="1:8" x14ac:dyDescent="0.25">
      <c r="A124" s="7">
        <f>COUNTIF($B$10:B123,"="&amp;B124)-COUNTBLANK(($B$10:B123))</f>
        <v>0</v>
      </c>
      <c r="B124" s="29"/>
      <c r="C124" s="29"/>
      <c r="D124" s="6"/>
      <c r="E124" s="7"/>
      <c r="F124" s="7"/>
      <c r="G124" s="7"/>
      <c r="H124" s="7"/>
    </row>
    <row r="125" spans="1:8" x14ac:dyDescent="0.25">
      <c r="A125" s="7">
        <f>COUNTIF($B$10:B124,"="&amp;B125)-COUNTBLANK(($B$10:B124))</f>
        <v>0</v>
      </c>
      <c r="B125" s="29"/>
      <c r="C125" s="29"/>
      <c r="D125" s="6"/>
      <c r="E125" s="7"/>
      <c r="F125" s="7"/>
      <c r="G125" s="7"/>
      <c r="H125" s="7"/>
    </row>
    <row r="126" spans="1:8" x14ac:dyDescent="0.25">
      <c r="A126" s="7">
        <f>COUNTIF($B$10:B125,"="&amp;B126)-COUNTBLANK(($B$10:B125))</f>
        <v>0</v>
      </c>
      <c r="B126" s="29"/>
      <c r="C126" s="29"/>
      <c r="D126" s="6"/>
      <c r="E126" s="7"/>
      <c r="F126" s="7"/>
      <c r="G126" s="7"/>
      <c r="H126" s="7"/>
    </row>
    <row r="127" spans="1:8" x14ac:dyDescent="0.25">
      <c r="A127" s="7">
        <f>COUNTIF($B$10:B126,"="&amp;B127)-COUNTBLANK(($B$10:B126))</f>
        <v>0</v>
      </c>
      <c r="B127" s="29"/>
      <c r="C127" s="29"/>
      <c r="D127" s="6"/>
      <c r="E127" s="7"/>
      <c r="F127" s="7"/>
      <c r="G127" s="7"/>
      <c r="H127" s="7"/>
    </row>
    <row r="128" spans="1:8" x14ac:dyDescent="0.25">
      <c r="A128" s="7">
        <f>COUNTIF($B$10:B127,"="&amp;B128)-COUNTBLANK(($B$10:B127))</f>
        <v>0</v>
      </c>
      <c r="B128" s="29"/>
      <c r="C128" s="29"/>
      <c r="D128" s="6"/>
      <c r="E128" s="7"/>
      <c r="F128" s="7"/>
      <c r="G128" s="7"/>
      <c r="H128" s="7"/>
    </row>
    <row r="129" spans="1:8" x14ac:dyDescent="0.25">
      <c r="A129" s="7">
        <f>COUNTIF($B$10:B128,"="&amp;B129)-COUNTBLANK(($B$10:B128))</f>
        <v>0</v>
      </c>
      <c r="B129" s="29"/>
      <c r="C129" s="29"/>
      <c r="D129" s="6"/>
      <c r="E129" s="7"/>
      <c r="F129" s="7"/>
      <c r="G129" s="7"/>
      <c r="H129" s="7"/>
    </row>
    <row r="130" spans="1:8" x14ac:dyDescent="0.25">
      <c r="A130" s="7">
        <f>COUNTIF($B$10:B129,"="&amp;B130)-COUNTBLANK(($B$10:B129))</f>
        <v>0</v>
      </c>
      <c r="B130" s="29"/>
      <c r="C130" s="29"/>
      <c r="D130" s="6"/>
      <c r="E130" s="7"/>
      <c r="F130" s="7"/>
      <c r="G130" s="7"/>
      <c r="H130" s="7"/>
    </row>
    <row r="131" spans="1:8" x14ac:dyDescent="0.25">
      <c r="A131" s="7">
        <f>COUNTIF($B$10:B130,"="&amp;B131)-COUNTBLANK(($B$10:B130))</f>
        <v>0</v>
      </c>
      <c r="B131" s="29"/>
      <c r="C131" s="29"/>
      <c r="D131" s="6"/>
      <c r="E131" s="7"/>
      <c r="F131" s="7"/>
      <c r="G131" s="7"/>
      <c r="H131" s="7"/>
    </row>
    <row r="132" spans="1:8" x14ac:dyDescent="0.25">
      <c r="A132" s="7">
        <f>COUNTIF($B$10:B131,"="&amp;B132)-COUNTBLANK(($B$10:B131))</f>
        <v>0</v>
      </c>
      <c r="B132" s="29"/>
      <c r="C132" s="29"/>
      <c r="D132" s="6"/>
      <c r="E132" s="7"/>
      <c r="F132" s="7"/>
      <c r="G132" s="7"/>
      <c r="H132" s="7"/>
    </row>
    <row r="133" spans="1:8" x14ac:dyDescent="0.25">
      <c r="A133" s="7">
        <f>COUNTIF($B$10:B132,"="&amp;B133)-COUNTBLANK(($B$10:B132))</f>
        <v>0</v>
      </c>
      <c r="B133" s="29"/>
      <c r="C133" s="29"/>
      <c r="D133" s="6"/>
      <c r="E133" s="7"/>
      <c r="F133" s="7"/>
      <c r="G133" s="7"/>
      <c r="H133" s="7"/>
    </row>
    <row r="134" spans="1:8" x14ac:dyDescent="0.25">
      <c r="A134" s="7">
        <f>COUNTIF($B$10:B133,"="&amp;B134)-COUNTBLANK(($B$10:B133))</f>
        <v>0</v>
      </c>
      <c r="B134" s="29"/>
      <c r="C134" s="29"/>
      <c r="D134" s="6"/>
      <c r="E134" s="7"/>
      <c r="F134" s="7"/>
      <c r="G134" s="7"/>
      <c r="H134" s="7"/>
    </row>
    <row r="135" spans="1:8" x14ac:dyDescent="0.25">
      <c r="A135" s="7">
        <f>COUNTIF($B$10:B134,"="&amp;B135)-COUNTBLANK(($B$10:B134))</f>
        <v>0</v>
      </c>
      <c r="B135" s="29"/>
      <c r="C135" s="29"/>
      <c r="D135" s="6"/>
      <c r="E135" s="7"/>
      <c r="F135" s="7"/>
      <c r="G135" s="7"/>
      <c r="H135" s="7"/>
    </row>
    <row r="136" spans="1:8" x14ac:dyDescent="0.25">
      <c r="A136" s="7">
        <f>COUNTIF($B$10:B135,"="&amp;B136)-COUNTBLANK(($B$10:B135))</f>
        <v>0</v>
      </c>
      <c r="B136" s="29"/>
      <c r="C136" s="29"/>
      <c r="D136" s="6"/>
      <c r="E136" s="7"/>
      <c r="F136" s="7"/>
      <c r="G136" s="7"/>
      <c r="H136" s="7"/>
    </row>
    <row r="137" spans="1:8" x14ac:dyDescent="0.25">
      <c r="A137" s="7">
        <f>COUNTIF($B$10:B136,"="&amp;B137)-COUNTBLANK(($B$10:B136))</f>
        <v>0</v>
      </c>
      <c r="B137" s="29"/>
      <c r="C137" s="29"/>
      <c r="D137" s="6"/>
      <c r="E137" s="7"/>
      <c r="F137" s="7"/>
      <c r="G137" s="7"/>
      <c r="H137" s="7"/>
    </row>
    <row r="138" spans="1:8" x14ac:dyDescent="0.25">
      <c r="A138" s="7">
        <f>COUNTIF($B$10:B137,"="&amp;B138)-COUNTBLANK(($B$10:B137))</f>
        <v>0</v>
      </c>
      <c r="B138" s="29"/>
      <c r="C138" s="29"/>
      <c r="D138" s="6"/>
      <c r="E138" s="7"/>
      <c r="F138" s="7"/>
      <c r="G138" s="7"/>
      <c r="H138" s="7"/>
    </row>
    <row r="139" spans="1:8" x14ac:dyDescent="0.25">
      <c r="A139" s="7">
        <f>COUNTIF($B$10:B138,"="&amp;B139)-COUNTBLANK(($B$10:B138))</f>
        <v>0</v>
      </c>
      <c r="B139" s="29"/>
      <c r="C139" s="29"/>
      <c r="D139" s="6"/>
      <c r="E139" s="7"/>
      <c r="F139" s="7"/>
      <c r="G139" s="7"/>
      <c r="H139" s="7"/>
    </row>
    <row r="140" spans="1:8" x14ac:dyDescent="0.25">
      <c r="A140" s="7">
        <f>COUNTIF($B$10:B139,"="&amp;B140)-COUNTBLANK(($B$10:B139))</f>
        <v>0</v>
      </c>
      <c r="B140" s="29"/>
      <c r="C140" s="29"/>
      <c r="D140" s="6"/>
      <c r="E140" s="7"/>
      <c r="F140" s="7"/>
      <c r="G140" s="7"/>
      <c r="H140" s="7"/>
    </row>
    <row r="141" spans="1:8" x14ac:dyDescent="0.25">
      <c r="A141" s="7">
        <f>COUNTIF($B$10:B140,"="&amp;B141)-COUNTBLANK(($B$10:B140))</f>
        <v>0</v>
      </c>
      <c r="B141" s="29"/>
      <c r="C141" s="29"/>
      <c r="D141" s="6"/>
      <c r="E141" s="7"/>
      <c r="F141" s="7"/>
      <c r="G141" s="7"/>
      <c r="H141" s="7"/>
    </row>
    <row r="142" spans="1:8" x14ac:dyDescent="0.25">
      <c r="A142" s="7">
        <f>COUNTIF($B$10:B141,"="&amp;B142)-COUNTBLANK(($B$10:B141))</f>
        <v>0</v>
      </c>
      <c r="B142" s="29"/>
      <c r="C142" s="29"/>
      <c r="D142" s="6"/>
      <c r="E142" s="7"/>
      <c r="F142" s="7"/>
      <c r="G142" s="7"/>
      <c r="H142" s="7"/>
    </row>
    <row r="143" spans="1:8" x14ac:dyDescent="0.25">
      <c r="A143" s="7">
        <f>COUNTIF($B$10:B142,"="&amp;B143)-COUNTBLANK(($B$10:B142))</f>
        <v>0</v>
      </c>
      <c r="B143" s="29"/>
      <c r="C143" s="29"/>
      <c r="D143" s="6"/>
      <c r="E143" s="7"/>
      <c r="F143" s="7"/>
      <c r="G143" s="7"/>
      <c r="H143" s="7"/>
    </row>
    <row r="144" spans="1:8" x14ac:dyDescent="0.25">
      <c r="A144" s="7">
        <f>COUNTIF($B$10:B143,"="&amp;B144)-COUNTBLANK(($B$10:B143))</f>
        <v>0</v>
      </c>
      <c r="B144" s="29"/>
      <c r="C144" s="29"/>
      <c r="D144" s="6"/>
      <c r="E144" s="7"/>
      <c r="F144" s="7"/>
      <c r="G144" s="7"/>
      <c r="H144" s="7"/>
    </row>
    <row r="145" spans="1:8" x14ac:dyDescent="0.25">
      <c r="A145" s="7">
        <f>COUNTIF($B$10:B144,"="&amp;B145)-COUNTBLANK(($B$10:B144))</f>
        <v>0</v>
      </c>
      <c r="B145" s="29"/>
      <c r="C145" s="29"/>
      <c r="D145" s="6"/>
      <c r="E145" s="7"/>
      <c r="F145" s="7"/>
      <c r="G145" s="7"/>
      <c r="H145" s="7"/>
    </row>
    <row r="146" spans="1:8" x14ac:dyDescent="0.25">
      <c r="A146" s="7">
        <f>COUNTIF($B$10:B145,"="&amp;B146)-COUNTBLANK(($B$10:B145))</f>
        <v>0</v>
      </c>
      <c r="B146" s="29"/>
      <c r="C146" s="29"/>
      <c r="D146" s="6"/>
      <c r="E146" s="7"/>
      <c r="F146" s="7"/>
      <c r="G146" s="7"/>
      <c r="H146" s="7"/>
    </row>
    <row r="147" spans="1:8" x14ac:dyDescent="0.25">
      <c r="A147" s="7">
        <f>COUNTIF($B$10:B146,"="&amp;B147)-COUNTBLANK(($B$10:B146))</f>
        <v>0</v>
      </c>
      <c r="B147" s="29"/>
      <c r="C147" s="29"/>
      <c r="D147" s="6"/>
      <c r="E147" s="7"/>
      <c r="F147" s="7"/>
      <c r="G147" s="7"/>
      <c r="H147" s="7"/>
    </row>
    <row r="148" spans="1:8" x14ac:dyDescent="0.25">
      <c r="A148" s="7">
        <f>COUNTIF($B$10:B147,"="&amp;B148)-COUNTBLANK(($B$10:B147))</f>
        <v>0</v>
      </c>
      <c r="B148" s="29"/>
      <c r="C148" s="29"/>
      <c r="D148" s="6"/>
      <c r="E148" s="7"/>
      <c r="F148" s="7"/>
      <c r="G148" s="7"/>
      <c r="H148" s="7"/>
    </row>
    <row r="149" spans="1:8" x14ac:dyDescent="0.25">
      <c r="A149" s="7">
        <f>COUNTIF($B$10:B148,"="&amp;B149)-COUNTBLANK(($B$10:B148))</f>
        <v>0</v>
      </c>
      <c r="B149" s="29"/>
      <c r="C149" s="29"/>
      <c r="D149" s="6"/>
      <c r="E149" s="7"/>
      <c r="F149" s="7"/>
      <c r="G149" s="7"/>
      <c r="H149" s="7"/>
    </row>
    <row r="150" spans="1:8" x14ac:dyDescent="0.25">
      <c r="A150" s="7">
        <f>COUNTIF($B$10:B149,"="&amp;B150)-COUNTBLANK(($B$10:B149))</f>
        <v>0</v>
      </c>
      <c r="B150" s="29"/>
      <c r="C150" s="29"/>
      <c r="D150" s="6"/>
      <c r="E150" s="7"/>
      <c r="F150" s="7"/>
      <c r="G150" s="7"/>
      <c r="H150" s="7"/>
    </row>
    <row r="151" spans="1:8" x14ac:dyDescent="0.25">
      <c r="A151" s="7">
        <f>COUNTIF($B$10:B150,"="&amp;B151)-COUNTBLANK(($B$10:B150))</f>
        <v>0</v>
      </c>
      <c r="B151" s="29"/>
      <c r="C151" s="29"/>
      <c r="D151" s="6"/>
      <c r="E151" s="7"/>
      <c r="F151" s="7"/>
      <c r="G151" s="7"/>
      <c r="H151" s="7"/>
    </row>
    <row r="152" spans="1:8" x14ac:dyDescent="0.25">
      <c r="A152" s="7">
        <f>COUNTIF($B$10:B151,"="&amp;B152)-COUNTBLANK(($B$10:B151))</f>
        <v>0</v>
      </c>
      <c r="B152" s="29"/>
      <c r="C152" s="29"/>
      <c r="D152" s="6"/>
      <c r="E152" s="7"/>
      <c r="F152" s="7"/>
      <c r="G152" s="7"/>
      <c r="H152" s="7"/>
    </row>
    <row r="153" spans="1:8" x14ac:dyDescent="0.25">
      <c r="A153" s="7">
        <f>COUNTIF($B$10:B152,"="&amp;B153)-COUNTBLANK(($B$10:B152))</f>
        <v>0</v>
      </c>
      <c r="B153" s="29"/>
      <c r="C153" s="29"/>
      <c r="D153" s="6"/>
      <c r="E153" s="7"/>
      <c r="F153" s="7"/>
      <c r="G153" s="7"/>
      <c r="H153" s="7"/>
    </row>
    <row r="154" spans="1:8" x14ac:dyDescent="0.25">
      <c r="A154" s="7">
        <f>COUNTIF($B$10:B153,"="&amp;B154)-COUNTBLANK(($B$10:B153))</f>
        <v>0</v>
      </c>
      <c r="B154" s="29"/>
      <c r="C154" s="29"/>
      <c r="D154" s="6"/>
      <c r="E154" s="7"/>
      <c r="F154" s="7"/>
      <c r="G154" s="7"/>
      <c r="H154" s="7"/>
    </row>
    <row r="155" spans="1:8" x14ac:dyDescent="0.25">
      <c r="A155" s="7">
        <f>COUNTIF($B$10:B154,"="&amp;B155)-COUNTBLANK(($B$10:B154))</f>
        <v>0</v>
      </c>
      <c r="B155" s="29"/>
      <c r="C155" s="29"/>
      <c r="D155" s="6"/>
      <c r="E155" s="7"/>
      <c r="F155" s="7"/>
      <c r="G155" s="7"/>
      <c r="H155" s="7"/>
    </row>
    <row r="156" spans="1:8" x14ac:dyDescent="0.25">
      <c r="A156" s="7">
        <f>COUNTIF($B$10:B155,"="&amp;B156)-COUNTBLANK(($B$10:B155))</f>
        <v>0</v>
      </c>
      <c r="B156" s="29"/>
      <c r="C156" s="29"/>
      <c r="D156" s="6"/>
      <c r="E156" s="7"/>
      <c r="F156" s="7"/>
      <c r="G156" s="7"/>
      <c r="H156" s="7"/>
    </row>
    <row r="157" spans="1:8" x14ac:dyDescent="0.25">
      <c r="A157" s="7">
        <f>COUNTIF($B$10:B156,"="&amp;B157)-COUNTBLANK(($B$10:B156))</f>
        <v>0</v>
      </c>
      <c r="B157" s="29"/>
      <c r="C157" s="29"/>
      <c r="D157" s="6"/>
      <c r="E157" s="7"/>
      <c r="F157" s="7"/>
      <c r="G157" s="7"/>
      <c r="H157" s="7"/>
    </row>
    <row r="158" spans="1:8" x14ac:dyDescent="0.25">
      <c r="A158" s="7">
        <f>COUNTIF($B$10:B157,"="&amp;B158)-COUNTBLANK(($B$10:B157))</f>
        <v>0</v>
      </c>
      <c r="B158" s="29"/>
      <c r="C158" s="29"/>
      <c r="D158" s="6"/>
      <c r="E158" s="7"/>
      <c r="F158" s="7"/>
      <c r="G158" s="7"/>
      <c r="H158" s="7"/>
    </row>
    <row r="159" spans="1:8" x14ac:dyDescent="0.25">
      <c r="A159" s="7">
        <f>COUNTIF($B$10:B158,"="&amp;B159)-COUNTBLANK(($B$10:B158))</f>
        <v>0</v>
      </c>
      <c r="B159" s="29"/>
      <c r="C159" s="29"/>
      <c r="D159" s="6"/>
      <c r="E159" s="7"/>
      <c r="F159" s="7"/>
      <c r="G159" s="7"/>
      <c r="H159" s="7"/>
    </row>
    <row r="160" spans="1:8" x14ac:dyDescent="0.25">
      <c r="A160" s="7">
        <f>COUNTIF($B$10:B159,"="&amp;B160)-COUNTBLANK(($B$10:B159))</f>
        <v>0</v>
      </c>
      <c r="B160" s="29"/>
      <c r="C160" s="29"/>
      <c r="D160" s="6"/>
      <c r="E160" s="7"/>
      <c r="F160" s="7"/>
      <c r="G160" s="7"/>
      <c r="H160" s="7"/>
    </row>
    <row r="161" spans="1:8" x14ac:dyDescent="0.25">
      <c r="A161" s="7">
        <f>COUNTIF($B$10:B160,"="&amp;B161)-COUNTBLANK(($B$10:B160))</f>
        <v>0</v>
      </c>
      <c r="B161" s="29"/>
      <c r="C161" s="29"/>
      <c r="D161" s="6"/>
      <c r="E161" s="7"/>
      <c r="F161" s="7"/>
      <c r="G161" s="7"/>
      <c r="H161" s="7"/>
    </row>
    <row r="162" spans="1:8" x14ac:dyDescent="0.25">
      <c r="A162" s="7">
        <f>COUNTIF($B$10:B161,"="&amp;B162)-COUNTBLANK(($B$10:B161))</f>
        <v>0</v>
      </c>
      <c r="B162" s="29"/>
      <c r="C162" s="29"/>
      <c r="D162" s="6"/>
      <c r="E162" s="7"/>
      <c r="F162" s="7"/>
      <c r="G162" s="7"/>
      <c r="H162" s="7"/>
    </row>
    <row r="163" spans="1:8" x14ac:dyDescent="0.25">
      <c r="A163" s="7">
        <f>COUNTIF($B$10:B162,"="&amp;B163)-COUNTBLANK(($B$10:B162))</f>
        <v>0</v>
      </c>
      <c r="B163" s="29"/>
      <c r="C163" s="29"/>
      <c r="D163" s="6"/>
      <c r="E163" s="7"/>
      <c r="F163" s="7"/>
      <c r="G163" s="7"/>
      <c r="H163" s="7"/>
    </row>
    <row r="164" spans="1:8" x14ac:dyDescent="0.25">
      <c r="A164" s="7">
        <f>COUNTIF($B$10:B163,"="&amp;B164)-COUNTBLANK(($B$10:B163))</f>
        <v>0</v>
      </c>
      <c r="B164" s="29"/>
      <c r="C164" s="29"/>
      <c r="D164" s="6"/>
      <c r="E164" s="7"/>
      <c r="F164" s="7"/>
      <c r="G164" s="7"/>
      <c r="H164" s="7"/>
    </row>
    <row r="165" spans="1:8" x14ac:dyDescent="0.25">
      <c r="A165" s="7">
        <f>COUNTIF($B$10:B164,"="&amp;B165)-COUNTBLANK(($B$10:B164))</f>
        <v>0</v>
      </c>
      <c r="B165" s="29"/>
      <c r="C165" s="29"/>
      <c r="D165" s="6"/>
      <c r="E165" s="7"/>
      <c r="F165" s="7"/>
      <c r="G165" s="7"/>
      <c r="H165" s="7"/>
    </row>
    <row r="166" spans="1:8" x14ac:dyDescent="0.25">
      <c r="A166" s="7">
        <f>COUNTIF($B$10:B165,"="&amp;B166)-COUNTBLANK(($B$10:B165))</f>
        <v>0</v>
      </c>
      <c r="B166" s="29"/>
      <c r="C166" s="29"/>
      <c r="D166" s="6"/>
      <c r="E166" s="7"/>
      <c r="F166" s="7"/>
      <c r="G166" s="7"/>
      <c r="H166" s="7"/>
    </row>
    <row r="167" spans="1:8" x14ac:dyDescent="0.25">
      <c r="A167" s="7">
        <f>COUNTIF($B$10:B166,"="&amp;B167)-COUNTBLANK(($B$10:B166))</f>
        <v>0</v>
      </c>
      <c r="B167" s="29"/>
      <c r="C167" s="29"/>
      <c r="D167" s="6"/>
      <c r="E167" s="7"/>
      <c r="F167" s="7"/>
      <c r="G167" s="7"/>
      <c r="H167" s="7"/>
    </row>
    <row r="168" spans="1:8" x14ac:dyDescent="0.25">
      <c r="A168" s="7">
        <f>COUNTIF($B$10:B167,"="&amp;B168)-COUNTBLANK(($B$10:B167))</f>
        <v>0</v>
      </c>
      <c r="B168" s="29"/>
      <c r="C168" s="29"/>
      <c r="D168" s="6"/>
      <c r="E168" s="7"/>
      <c r="F168" s="7"/>
      <c r="G168" s="7"/>
      <c r="H168" s="7"/>
    </row>
    <row r="169" spans="1:8" x14ac:dyDescent="0.25">
      <c r="A169" s="7">
        <f>COUNTIF($B$10:B168,"="&amp;B169)-COUNTBLANK(($B$10:B168))</f>
        <v>0</v>
      </c>
      <c r="B169" s="29"/>
      <c r="C169" s="29"/>
      <c r="D169" s="6"/>
      <c r="E169" s="7"/>
      <c r="F169" s="7"/>
      <c r="G169" s="7"/>
      <c r="H169" s="7"/>
    </row>
    <row r="170" spans="1:8" x14ac:dyDescent="0.25">
      <c r="A170" s="7">
        <f>COUNTIF($B$10:B169,"="&amp;B170)-COUNTBLANK(($B$10:B169))</f>
        <v>0</v>
      </c>
      <c r="B170" s="29"/>
      <c r="C170" s="29"/>
      <c r="D170" s="6"/>
      <c r="E170" s="7"/>
      <c r="F170" s="7"/>
      <c r="G170" s="7"/>
      <c r="H170" s="7"/>
    </row>
    <row r="171" spans="1:8" x14ac:dyDescent="0.25">
      <c r="A171" s="7">
        <f>COUNTIF($B$10:B170,"="&amp;B171)-COUNTBLANK(($B$10:B170))</f>
        <v>0</v>
      </c>
      <c r="B171" s="29"/>
      <c r="C171" s="29"/>
      <c r="D171" s="6"/>
      <c r="E171" s="7"/>
      <c r="F171" s="7"/>
      <c r="G171" s="7"/>
      <c r="H171" s="7"/>
    </row>
    <row r="172" spans="1:8" x14ac:dyDescent="0.25">
      <c r="A172" s="7">
        <f>COUNTIF($B$10:B171,"="&amp;B172)-COUNTBLANK(($B$10:B171))</f>
        <v>0</v>
      </c>
      <c r="B172" s="29"/>
      <c r="C172" s="29"/>
      <c r="D172" s="6"/>
      <c r="E172" s="7"/>
      <c r="F172" s="7"/>
      <c r="G172" s="7"/>
      <c r="H172" s="7"/>
    </row>
    <row r="173" spans="1:8" x14ac:dyDescent="0.25">
      <c r="A173" s="7">
        <f>COUNTIF($B$10:B172,"="&amp;B173)-COUNTBLANK(($B$10:B172))</f>
        <v>0</v>
      </c>
      <c r="B173" s="29"/>
      <c r="C173" s="29"/>
      <c r="D173" s="6"/>
      <c r="E173" s="7"/>
      <c r="F173" s="7"/>
      <c r="G173" s="7"/>
      <c r="H173" s="7"/>
    </row>
    <row r="174" spans="1:8" x14ac:dyDescent="0.25">
      <c r="A174" s="7">
        <f>COUNTIF($B$10:B173,"="&amp;B174)-COUNTBLANK(($B$10:B173))</f>
        <v>0</v>
      </c>
      <c r="B174" s="29"/>
      <c r="C174" s="29"/>
      <c r="D174" s="6"/>
      <c r="E174" s="7"/>
      <c r="F174" s="7"/>
      <c r="G174" s="7"/>
      <c r="H174" s="7"/>
    </row>
    <row r="175" spans="1:8" x14ac:dyDescent="0.25">
      <c r="A175" s="7">
        <f>COUNTIF($B$10:B174,"="&amp;B175)-COUNTBLANK(($B$10:B174))</f>
        <v>0</v>
      </c>
      <c r="B175" s="29"/>
      <c r="C175" s="29"/>
      <c r="D175" s="6"/>
      <c r="E175" s="7"/>
      <c r="F175" s="7"/>
      <c r="G175" s="7"/>
      <c r="H175" s="7"/>
    </row>
    <row r="176" spans="1:8" x14ac:dyDescent="0.25">
      <c r="A176" s="7">
        <f>COUNTIF($B$10:B175,"="&amp;B176)-COUNTBLANK(($B$10:B175))</f>
        <v>0</v>
      </c>
      <c r="B176" s="29"/>
      <c r="C176" s="29"/>
      <c r="D176" s="6"/>
      <c r="E176" s="7"/>
      <c r="F176" s="7"/>
      <c r="G176" s="7"/>
      <c r="H176" s="7"/>
    </row>
    <row r="177" spans="1:8" x14ac:dyDescent="0.25">
      <c r="A177" s="7">
        <f>COUNTIF($B$10:B176,"="&amp;B177)-COUNTBLANK(($B$10:B176))</f>
        <v>0</v>
      </c>
      <c r="B177" s="29"/>
      <c r="C177" s="29"/>
      <c r="D177" s="6"/>
      <c r="E177" s="7"/>
      <c r="F177" s="7"/>
      <c r="G177" s="7"/>
      <c r="H177" s="7"/>
    </row>
    <row r="178" spans="1:8" x14ac:dyDescent="0.25">
      <c r="A178" s="7">
        <f>COUNTIF($B$10:B177,"="&amp;B178)-COUNTBLANK(($B$10:B177))</f>
        <v>0</v>
      </c>
      <c r="B178" s="29"/>
      <c r="C178" s="29"/>
      <c r="D178" s="6"/>
      <c r="E178" s="7"/>
      <c r="F178" s="7"/>
      <c r="G178" s="7"/>
      <c r="H178" s="7"/>
    </row>
    <row r="179" spans="1:8" x14ac:dyDescent="0.25">
      <c r="A179" s="7">
        <f>COUNTIF($B$10:B178,"="&amp;B179)-COUNTBLANK(($B$10:B178))</f>
        <v>0</v>
      </c>
      <c r="B179" s="29"/>
      <c r="C179" s="29"/>
      <c r="D179" s="6"/>
      <c r="E179" s="7"/>
      <c r="F179" s="7"/>
      <c r="G179" s="7"/>
      <c r="H179" s="7"/>
    </row>
    <row r="180" spans="1:8" x14ac:dyDescent="0.25">
      <c r="A180" s="7">
        <f>COUNTIF($B$10:B179,"="&amp;B180)-COUNTBLANK(($B$10:B179))</f>
        <v>0</v>
      </c>
      <c r="B180" s="29"/>
      <c r="C180" s="29"/>
      <c r="D180" s="6"/>
      <c r="E180" s="7"/>
      <c r="F180" s="7"/>
      <c r="G180" s="7"/>
      <c r="H180" s="7"/>
    </row>
    <row r="181" spans="1:8" x14ac:dyDescent="0.25">
      <c r="A181" s="7">
        <f>COUNTIF($B$10:B180,"="&amp;B181)-COUNTBLANK(($B$10:B180))</f>
        <v>0</v>
      </c>
      <c r="B181" s="29"/>
      <c r="C181" s="29"/>
      <c r="D181" s="6"/>
      <c r="E181" s="7"/>
      <c r="F181" s="7"/>
      <c r="G181" s="7"/>
      <c r="H181" s="7"/>
    </row>
    <row r="182" spans="1:8" x14ac:dyDescent="0.25">
      <c r="A182" s="7">
        <f>COUNTIF($B$10:B181,"="&amp;B182)-COUNTBLANK(($B$10:B181))</f>
        <v>0</v>
      </c>
      <c r="B182" s="29"/>
      <c r="C182" s="29"/>
      <c r="D182" s="6"/>
      <c r="E182" s="7"/>
      <c r="F182" s="7"/>
      <c r="G182" s="7"/>
      <c r="H182" s="7"/>
    </row>
    <row r="183" spans="1:8" x14ac:dyDescent="0.25">
      <c r="A183" s="7">
        <f>COUNTIF($B$10:B182,"="&amp;B183)-COUNTBLANK(($B$10:B182))</f>
        <v>0</v>
      </c>
      <c r="B183" s="29"/>
      <c r="C183" s="29"/>
      <c r="D183" s="6"/>
      <c r="E183" s="7"/>
      <c r="F183" s="7"/>
      <c r="G183" s="7"/>
      <c r="H183" s="7"/>
    </row>
    <row r="184" spans="1:8" x14ac:dyDescent="0.25">
      <c r="A184" s="7">
        <f>COUNTIF($B$10:B183,"="&amp;B184)-COUNTBLANK(($B$10:B183))</f>
        <v>0</v>
      </c>
      <c r="B184" s="29"/>
      <c r="C184" s="29"/>
      <c r="D184" s="6"/>
      <c r="E184" s="7"/>
      <c r="F184" s="7"/>
      <c r="G184" s="7"/>
      <c r="H184" s="7"/>
    </row>
    <row r="185" spans="1:8" x14ac:dyDescent="0.25">
      <c r="A185" s="7">
        <f>COUNTIF($B$10:B184,"="&amp;B185)-COUNTBLANK(($B$10:B184))</f>
        <v>0</v>
      </c>
      <c r="B185" s="29"/>
      <c r="C185" s="29"/>
      <c r="D185" s="6"/>
      <c r="E185" s="7"/>
      <c r="F185" s="7"/>
      <c r="G185" s="7"/>
      <c r="H185" s="7"/>
    </row>
    <row r="186" spans="1:8" x14ac:dyDescent="0.25">
      <c r="A186" s="7">
        <f>COUNTIF($B$10:B185,"="&amp;B186)-COUNTBLANK(($B$10:B185))</f>
        <v>0</v>
      </c>
      <c r="B186" s="29"/>
      <c r="C186" s="29"/>
      <c r="D186" s="6"/>
      <c r="E186" s="7"/>
      <c r="F186" s="7"/>
      <c r="G186" s="7"/>
      <c r="H186" s="7"/>
    </row>
    <row r="187" spans="1:8" x14ac:dyDescent="0.25">
      <c r="A187" s="7">
        <f>COUNTIF($B$10:B186,"="&amp;B187)-COUNTBLANK(($B$10:B186))</f>
        <v>0</v>
      </c>
      <c r="B187" s="29"/>
      <c r="C187" s="29"/>
      <c r="D187" s="6"/>
      <c r="E187" s="7"/>
      <c r="F187" s="7"/>
      <c r="G187" s="7"/>
      <c r="H187" s="7"/>
    </row>
    <row r="188" spans="1:8" x14ac:dyDescent="0.25">
      <c r="A188" s="7">
        <f>COUNTIF($B$10:B187,"="&amp;B188)-COUNTBLANK(($B$10:B187))</f>
        <v>0</v>
      </c>
      <c r="B188" s="29"/>
      <c r="C188" s="29"/>
      <c r="D188" s="6"/>
      <c r="E188" s="7"/>
      <c r="F188" s="7"/>
      <c r="G188" s="7"/>
      <c r="H188" s="7"/>
    </row>
    <row r="189" spans="1:8" x14ac:dyDescent="0.25">
      <c r="A189" s="7">
        <f>COUNTIF($B$10:B188,"="&amp;B189)-COUNTBLANK(($B$10:B188))</f>
        <v>0</v>
      </c>
      <c r="B189" s="29"/>
      <c r="C189" s="29"/>
      <c r="D189" s="6"/>
      <c r="E189" s="7"/>
      <c r="F189" s="7"/>
      <c r="G189" s="7"/>
      <c r="H189" s="7"/>
    </row>
    <row r="190" spans="1:8" x14ac:dyDescent="0.25">
      <c r="A190" s="7">
        <f>COUNTIF($B$10:B189,"="&amp;B190)-COUNTBLANK(($B$10:B189))</f>
        <v>0</v>
      </c>
      <c r="B190" s="29"/>
      <c r="C190" s="29"/>
      <c r="D190" s="6"/>
      <c r="E190" s="7"/>
      <c r="F190" s="7"/>
      <c r="G190" s="7"/>
      <c r="H190" s="7"/>
    </row>
    <row r="191" spans="1:8" x14ac:dyDescent="0.25">
      <c r="A191" s="7">
        <f>COUNTIF($B$10:B190,"="&amp;B191)-COUNTBLANK(($B$10:B190))</f>
        <v>0</v>
      </c>
      <c r="B191" s="29"/>
      <c r="C191" s="29"/>
      <c r="D191" s="6"/>
      <c r="E191" s="7"/>
      <c r="F191" s="7"/>
      <c r="G191" s="7"/>
      <c r="H191" s="7"/>
    </row>
    <row r="192" spans="1:8" x14ac:dyDescent="0.25">
      <c r="A192" s="7">
        <f>COUNTIF($B$10:B191,"="&amp;B192)-COUNTBLANK(($B$10:B191))</f>
        <v>0</v>
      </c>
      <c r="B192" s="29"/>
      <c r="C192" s="29"/>
      <c r="D192" s="6"/>
      <c r="E192" s="7"/>
      <c r="F192" s="7"/>
      <c r="G192" s="7"/>
      <c r="H192" s="7"/>
    </row>
    <row r="193" spans="1:8" x14ac:dyDescent="0.25">
      <c r="A193" s="7">
        <f>COUNTIF($B$10:B192,"="&amp;B193)-COUNTBLANK(($B$10:B192))</f>
        <v>0</v>
      </c>
      <c r="B193" s="29"/>
      <c r="C193" s="29"/>
      <c r="D193" s="6"/>
      <c r="E193" s="7"/>
      <c r="F193" s="7"/>
      <c r="G193" s="7"/>
      <c r="H193" s="7"/>
    </row>
    <row r="194" spans="1:8" x14ac:dyDescent="0.25">
      <c r="A194" s="7">
        <f>COUNTIF($B$10:B193,"="&amp;B194)-COUNTBLANK(($B$10:B193))</f>
        <v>0</v>
      </c>
      <c r="B194" s="29"/>
      <c r="C194" s="29"/>
      <c r="D194" s="6"/>
      <c r="E194" s="7"/>
      <c r="F194" s="7"/>
      <c r="G194" s="7"/>
      <c r="H194" s="7"/>
    </row>
    <row r="195" spans="1:8" x14ac:dyDescent="0.25">
      <c r="A195" s="7">
        <f>COUNTIF($B$10:B194,"="&amp;B195)-COUNTBLANK(($B$10:B194))</f>
        <v>0</v>
      </c>
      <c r="B195" s="29"/>
      <c r="C195" s="29"/>
      <c r="D195" s="6"/>
      <c r="E195" s="7"/>
      <c r="F195" s="7"/>
      <c r="G195" s="7"/>
      <c r="H195" s="7"/>
    </row>
    <row r="196" spans="1:8" x14ac:dyDescent="0.25">
      <c r="A196" s="7">
        <f>COUNTIF($B$10:B195,"="&amp;B196)-COUNTBLANK(($B$10:B195))</f>
        <v>0</v>
      </c>
      <c r="B196" s="29"/>
      <c r="C196" s="29"/>
      <c r="D196" s="6"/>
      <c r="E196" s="7"/>
      <c r="F196" s="7"/>
      <c r="G196" s="7"/>
      <c r="H196" s="7"/>
    </row>
    <row r="197" spans="1:8" x14ac:dyDescent="0.25">
      <c r="A197" s="7">
        <f>COUNTIF($B$10:B196,"="&amp;B197)-COUNTBLANK(($B$10:B196))</f>
        <v>0</v>
      </c>
      <c r="B197" s="29"/>
      <c r="C197" s="29"/>
      <c r="D197" s="6"/>
      <c r="E197" s="7"/>
      <c r="F197" s="7"/>
      <c r="G197" s="7"/>
      <c r="H197" s="7"/>
    </row>
    <row r="198" spans="1:8" x14ac:dyDescent="0.25">
      <c r="A198" s="7">
        <f>COUNTIF($B$10:B197,"="&amp;B198)-COUNTBLANK(($B$10:B197))</f>
        <v>0</v>
      </c>
      <c r="B198" s="29"/>
      <c r="C198" s="29"/>
      <c r="D198" s="6"/>
      <c r="E198" s="7"/>
      <c r="F198" s="7"/>
      <c r="G198" s="7"/>
      <c r="H198" s="7"/>
    </row>
    <row r="199" spans="1:8" x14ac:dyDescent="0.25">
      <c r="A199" s="7">
        <f>COUNTIF($B$10:B198,"="&amp;B199)-COUNTBLANK(($B$10:B198))</f>
        <v>0</v>
      </c>
      <c r="B199" s="29"/>
      <c r="C199" s="29"/>
      <c r="D199" s="6"/>
      <c r="E199" s="7"/>
      <c r="F199" s="7"/>
      <c r="G199" s="7"/>
      <c r="H199" s="7"/>
    </row>
    <row r="200" spans="1:8" x14ac:dyDescent="0.25">
      <c r="B200" s="21"/>
      <c r="C200" s="21"/>
      <c r="D200" s="6"/>
      <c r="E200" s="7"/>
      <c r="F200" s="7"/>
      <c r="G200" s="7"/>
      <c r="H200" s="7"/>
    </row>
    <row r="201" spans="1:8" x14ac:dyDescent="0.25">
      <c r="B201" s="21"/>
      <c r="C201" s="21"/>
      <c r="D201" s="6"/>
      <c r="E201" s="7"/>
      <c r="F201" s="7"/>
      <c r="G201" s="7"/>
      <c r="H201" s="7"/>
    </row>
    <row r="202" spans="1:8" x14ac:dyDescent="0.25">
      <c r="B202" s="21"/>
      <c r="C202" s="21"/>
      <c r="D202" s="6"/>
      <c r="E202" s="7"/>
      <c r="F202" s="7"/>
      <c r="G202" s="7"/>
      <c r="H202" s="7"/>
    </row>
    <row r="203" spans="1:8" x14ac:dyDescent="0.25">
      <c r="B203" s="21"/>
      <c r="C203" s="21"/>
      <c r="D203" s="6"/>
      <c r="E203" s="7"/>
      <c r="F203" s="7"/>
      <c r="G203" s="7"/>
      <c r="H203" s="7"/>
    </row>
    <row r="204" spans="1:8" x14ac:dyDescent="0.25">
      <c r="B204" s="21"/>
      <c r="C204" s="21"/>
      <c r="D204" s="6"/>
      <c r="E204" s="7"/>
      <c r="F204" s="7"/>
      <c r="G204" s="7"/>
      <c r="H204" s="7"/>
    </row>
    <row r="205" spans="1:8" x14ac:dyDescent="0.25">
      <c r="B205" s="21"/>
      <c r="C205" s="21"/>
      <c r="D205" s="6"/>
      <c r="E205" s="7"/>
      <c r="F205" s="7"/>
      <c r="G205" s="7"/>
      <c r="H205" s="7"/>
    </row>
    <row r="206" spans="1:8" x14ac:dyDescent="0.25">
      <c r="B206" s="21"/>
      <c r="C206" s="21"/>
      <c r="D206" s="6"/>
      <c r="E206" s="7"/>
      <c r="F206" s="7"/>
      <c r="G206" s="7"/>
      <c r="H206" s="7"/>
    </row>
    <row r="207" spans="1:8" x14ac:dyDescent="0.25">
      <c r="B207" s="21"/>
      <c r="C207" s="21"/>
      <c r="D207" s="6"/>
      <c r="E207" s="7"/>
      <c r="F207" s="7"/>
      <c r="G207" s="7"/>
      <c r="H207" s="7"/>
    </row>
    <row r="208" spans="1:8" x14ac:dyDescent="0.25">
      <c r="B208" s="21"/>
      <c r="C208" s="21"/>
      <c r="D208" s="6"/>
      <c r="E208" s="7"/>
      <c r="F208" s="7"/>
      <c r="G208" s="7"/>
      <c r="H208" s="7"/>
    </row>
    <row r="209" spans="2:8" x14ac:dyDescent="0.25">
      <c r="B209" s="21"/>
      <c r="C209" s="21"/>
      <c r="D209" s="6"/>
      <c r="E209" s="7"/>
      <c r="F209" s="7"/>
      <c r="G209" s="7"/>
      <c r="H209" s="7"/>
    </row>
    <row r="210" spans="2:8" x14ac:dyDescent="0.25">
      <c r="B210" s="21"/>
      <c r="C210" s="21"/>
      <c r="D210" s="6"/>
      <c r="E210" s="7"/>
      <c r="F210" s="7"/>
      <c r="G210" s="7"/>
      <c r="H210" s="7"/>
    </row>
    <row r="211" spans="2:8" x14ac:dyDescent="0.25">
      <c r="B211" s="21"/>
      <c r="C211" s="21"/>
      <c r="D211" s="6"/>
      <c r="E211" s="7"/>
      <c r="F211" s="7"/>
      <c r="G211" s="7"/>
      <c r="H211" s="7"/>
    </row>
    <row r="212" spans="2:8" x14ac:dyDescent="0.25">
      <c r="B212" s="21"/>
      <c r="C212" s="21"/>
      <c r="D212" s="6"/>
      <c r="E212" s="7"/>
      <c r="F212" s="7"/>
      <c r="G212" s="7"/>
      <c r="H212" s="7"/>
    </row>
    <row r="213" spans="2:8" x14ac:dyDescent="0.25">
      <c r="B213" s="21"/>
      <c r="C213" s="21"/>
      <c r="D213" s="6"/>
      <c r="E213" s="7"/>
      <c r="F213" s="7"/>
      <c r="G213" s="7"/>
      <c r="H213" s="7"/>
    </row>
    <row r="214" spans="2:8" x14ac:dyDescent="0.25">
      <c r="B214" s="21"/>
      <c r="C214" s="21"/>
      <c r="D214" s="6"/>
      <c r="E214" s="7"/>
      <c r="F214" s="7"/>
      <c r="G214" s="7"/>
      <c r="H214" s="7"/>
    </row>
    <row r="215" spans="2:8" x14ac:dyDescent="0.25">
      <c r="B215" s="21"/>
      <c r="C215" s="21"/>
      <c r="D215" s="6"/>
      <c r="E215" s="7"/>
      <c r="F215" s="7"/>
      <c r="G215" s="7"/>
      <c r="H215" s="7"/>
    </row>
    <row r="216" spans="2:8" x14ac:dyDescent="0.25">
      <c r="B216" s="21"/>
      <c r="C216" s="21"/>
      <c r="D216" s="6"/>
      <c r="E216" s="7"/>
      <c r="F216" s="7"/>
      <c r="G216" s="7"/>
      <c r="H216" s="7"/>
    </row>
    <row r="217" spans="2:8" x14ac:dyDescent="0.25">
      <c r="B217" s="21"/>
      <c r="C217" s="21"/>
      <c r="D217" s="6"/>
      <c r="E217" s="7"/>
      <c r="F217" s="7"/>
      <c r="G217" s="7"/>
      <c r="H217" s="7"/>
    </row>
    <row r="218" spans="2:8" x14ac:dyDescent="0.25">
      <c r="B218" s="21"/>
      <c r="C218" s="21"/>
      <c r="D218" s="6"/>
      <c r="E218" s="7"/>
      <c r="F218" s="7"/>
      <c r="G218" s="7"/>
      <c r="H218" s="7"/>
    </row>
    <row r="219" spans="2:8" x14ac:dyDescent="0.25">
      <c r="B219" s="21"/>
      <c r="C219" s="21"/>
      <c r="D219" s="6"/>
      <c r="E219" s="7"/>
      <c r="F219" s="7"/>
      <c r="G219" s="7"/>
      <c r="H219" s="7"/>
    </row>
    <row r="220" spans="2:8" x14ac:dyDescent="0.25">
      <c r="B220" s="21"/>
      <c r="C220" s="21"/>
      <c r="D220" s="6"/>
      <c r="E220" s="7"/>
      <c r="F220" s="7"/>
      <c r="G220" s="7"/>
      <c r="H220" s="7"/>
    </row>
    <row r="221" spans="2:8" x14ac:dyDescent="0.25">
      <c r="B221" s="21"/>
      <c r="C221" s="21"/>
      <c r="D221" s="6"/>
      <c r="E221" s="7"/>
      <c r="F221" s="7"/>
      <c r="G221" s="7"/>
      <c r="H221" s="7"/>
    </row>
    <row r="222" spans="2:8" x14ac:dyDescent="0.25">
      <c r="B222" s="21"/>
      <c r="C222" s="21"/>
      <c r="D222" s="6"/>
      <c r="E222" s="7"/>
      <c r="F222" s="7"/>
      <c r="G222" s="7"/>
      <c r="H222" s="7"/>
    </row>
    <row r="223" spans="2:8" x14ac:dyDescent="0.25">
      <c r="B223" s="21"/>
      <c r="C223" s="21"/>
      <c r="D223" s="6"/>
      <c r="E223" s="7"/>
      <c r="F223" s="7"/>
      <c r="G223" s="7"/>
      <c r="H223" s="7"/>
    </row>
    <row r="224" spans="2:8" x14ac:dyDescent="0.25">
      <c r="B224" s="21"/>
      <c r="C224" s="21"/>
      <c r="D224" s="6"/>
      <c r="E224" s="7"/>
      <c r="F224" s="7"/>
      <c r="G224" s="7"/>
      <c r="H224" s="7"/>
    </row>
    <row r="225" spans="2:8" x14ac:dyDescent="0.25">
      <c r="B225" s="21"/>
      <c r="C225" s="21"/>
      <c r="D225" s="6"/>
      <c r="E225" s="7"/>
      <c r="F225" s="7"/>
      <c r="G225" s="7"/>
      <c r="H225" s="7"/>
    </row>
    <row r="226" spans="2:8" x14ac:dyDescent="0.25">
      <c r="B226" s="21"/>
      <c r="C226" s="21"/>
      <c r="D226" s="6"/>
      <c r="E226" s="7"/>
      <c r="F226" s="7"/>
      <c r="G226" s="7"/>
      <c r="H226" s="7"/>
    </row>
    <row r="227" spans="2:8" x14ac:dyDescent="0.25">
      <c r="B227" s="21"/>
      <c r="C227" s="21"/>
      <c r="D227" s="6"/>
      <c r="E227" s="7"/>
      <c r="F227" s="7"/>
      <c r="G227" s="7"/>
      <c r="H227" s="7"/>
    </row>
    <row r="228" spans="2:8" x14ac:dyDescent="0.25">
      <c r="B228" s="21"/>
      <c r="C228" s="21"/>
      <c r="D228" s="6"/>
      <c r="E228" s="7"/>
      <c r="F228" s="7"/>
      <c r="G228" s="7"/>
      <c r="H228" s="7"/>
    </row>
    <row r="229" spans="2:8" x14ac:dyDescent="0.25">
      <c r="B229" s="21"/>
      <c r="C229" s="21"/>
      <c r="D229" s="6"/>
      <c r="E229" s="7"/>
      <c r="F229" s="7"/>
      <c r="G229" s="7"/>
      <c r="H229" s="7"/>
    </row>
    <row r="230" spans="2:8" x14ac:dyDescent="0.25">
      <c r="B230" s="21"/>
      <c r="C230" s="21"/>
      <c r="D230" s="6"/>
      <c r="E230" s="7"/>
      <c r="F230" s="7"/>
      <c r="G230" s="7"/>
      <c r="H230" s="7"/>
    </row>
    <row r="231" spans="2:8" x14ac:dyDescent="0.25">
      <c r="B231" s="21"/>
      <c r="C231" s="21"/>
      <c r="D231" s="6"/>
      <c r="E231" s="7"/>
      <c r="F231" s="7"/>
      <c r="G231" s="7"/>
      <c r="H231" s="7"/>
    </row>
    <row r="232" spans="2:8" x14ac:dyDescent="0.25">
      <c r="B232" s="21"/>
      <c r="C232" s="21"/>
      <c r="D232" s="6"/>
      <c r="E232" s="7"/>
      <c r="F232" s="7"/>
      <c r="G232" s="7"/>
      <c r="H232" s="7"/>
    </row>
    <row r="233" spans="2:8" x14ac:dyDescent="0.25">
      <c r="B233" s="21"/>
      <c r="C233" s="21"/>
      <c r="D233" s="6"/>
      <c r="E233" s="7"/>
      <c r="F233" s="7"/>
      <c r="G233" s="7"/>
      <c r="H233" s="7"/>
    </row>
    <row r="234" spans="2:8" x14ac:dyDescent="0.25">
      <c r="B234" s="21"/>
      <c r="C234" s="21"/>
      <c r="F234" s="7"/>
      <c r="G234" s="7"/>
      <c r="H234" s="7"/>
    </row>
  </sheetData>
  <sheetProtection password="D1FE" sheet="1" objects="1" scenarios="1" formatCells="0" selectLockedCells="1"/>
  <customSheetViews>
    <customSheetView guid="{393F5C55-F382-488D-820D-AD7E2AF37D2B}" showGridLines="0" hiddenRows="1">
      <selection activeCell="C6" sqref="C6"/>
      <pageMargins left="0.7" right="0.7" top="0.75" bottom="0.75" header="0.3" footer="0.3"/>
      <pageSetup paperSize="9" orientation="portrait" r:id="rId1"/>
    </customSheetView>
  </customSheetViews>
  <mergeCells count="3">
    <mergeCell ref="B1:C4"/>
    <mergeCell ref="D1:E4"/>
    <mergeCell ref="F1:H4"/>
  </mergeCells>
  <conditionalFormatting sqref="A9:A199">
    <cfRule type="cellIs" dxfId="0" priority="1" operator="greaterThan">
      <formula>0</formula>
    </cfRule>
  </conditionalFormatting>
  <dataValidations count="1">
    <dataValidation type="decimal" allowBlank="1" showInputMessage="1" showErrorMessage="1" sqref="C83:C199 C10:C11 C13:C14 C16:C36 C38:C81">
      <formula1>-10000000</formula1>
      <formula2>10000000</formula2>
    </dataValidation>
  </dataValidation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37" r:id="rId5" name="CommandButton24">
          <controlPr defaultSize="0" autoLine="0" r:id="rId6">
            <anchor moveWithCells="1">
              <from>
                <xdr:col>3</xdr:col>
                <xdr:colOff>1466850</xdr:colOff>
                <xdr:row>19</xdr:row>
                <xdr:rowOff>19050</xdr:rowOff>
              </from>
              <to>
                <xdr:col>5</xdr:col>
                <xdr:colOff>1247775</xdr:colOff>
                <xdr:row>23</xdr:row>
                <xdr:rowOff>76200</xdr:rowOff>
              </to>
            </anchor>
          </controlPr>
        </control>
      </mc:Choice>
      <mc:Fallback>
        <control shapeId="1037" r:id="rId5" name="CommandButton24"/>
      </mc:Fallback>
    </mc:AlternateContent>
    <mc:AlternateContent xmlns:mc="http://schemas.openxmlformats.org/markup-compatibility/2006">
      <mc:Choice Requires="x14">
        <control shapeId="1036" r:id="rId7" name="CommandButton23">
          <controlPr defaultSize="0" autoLine="0" r:id="rId8">
            <anchor moveWithCells="1">
              <from>
                <xdr:col>2</xdr:col>
                <xdr:colOff>942975</xdr:colOff>
                <xdr:row>0</xdr:row>
                <xdr:rowOff>114300</xdr:rowOff>
              </from>
              <to>
                <xdr:col>2</xdr:col>
                <xdr:colOff>2438400</xdr:colOff>
                <xdr:row>3</xdr:row>
                <xdr:rowOff>133350</xdr:rowOff>
              </to>
            </anchor>
          </controlPr>
        </control>
      </mc:Choice>
      <mc:Fallback>
        <control shapeId="1036" r:id="rId7" name="CommandButton23"/>
      </mc:Fallback>
    </mc:AlternateContent>
    <mc:AlternateContent xmlns:mc="http://schemas.openxmlformats.org/markup-compatibility/2006">
      <mc:Choice Requires="x14">
        <control shapeId="1032" r:id="rId9" name="CommandButton22">
          <controlPr defaultSize="0" autoLine="0" r:id="rId10">
            <anchor moveWithCells="1">
              <from>
                <xdr:col>5</xdr:col>
                <xdr:colOff>66675</xdr:colOff>
                <xdr:row>13</xdr:row>
                <xdr:rowOff>85725</xdr:rowOff>
              </from>
              <to>
                <xdr:col>6</xdr:col>
                <xdr:colOff>314325</xdr:colOff>
                <xdr:row>17</xdr:row>
                <xdr:rowOff>9525</xdr:rowOff>
              </to>
            </anchor>
          </controlPr>
        </control>
      </mc:Choice>
      <mc:Fallback>
        <control shapeId="1032" r:id="rId9" name="CommandButton22"/>
      </mc:Fallback>
    </mc:AlternateContent>
    <mc:AlternateContent xmlns:mc="http://schemas.openxmlformats.org/markup-compatibility/2006">
      <mc:Choice Requires="x14">
        <control shapeId="1031" r:id="rId11" name="CommandButton21">
          <controlPr defaultSize="0" autoLine="0" r:id="rId12">
            <anchor moveWithCells="1">
              <from>
                <xdr:col>3</xdr:col>
                <xdr:colOff>104775</xdr:colOff>
                <xdr:row>13</xdr:row>
                <xdr:rowOff>38100</xdr:rowOff>
              </from>
              <to>
                <xdr:col>4</xdr:col>
                <xdr:colOff>457200</xdr:colOff>
                <xdr:row>17</xdr:row>
                <xdr:rowOff>47625</xdr:rowOff>
              </to>
            </anchor>
          </controlPr>
        </control>
      </mc:Choice>
      <mc:Fallback>
        <control shapeId="1031" r:id="rId11" name="CommandButton2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CODES!$A:$A</xm:f>
          </x14:formula1>
          <xm:sqref>B83:B200 B10:B81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928"/>
  <sheetViews>
    <sheetView workbookViewId="0">
      <selection activeCell="B4" sqref="B4"/>
    </sheetView>
  </sheetViews>
  <sheetFormatPr defaultRowHeight="15" x14ac:dyDescent="0.25"/>
  <cols>
    <col min="1" max="1" width="12.140625" customWidth="1"/>
    <col min="2" max="2" width="16.140625" style="18" customWidth="1"/>
    <col min="3" max="3" width="9.140625" style="18"/>
    <col min="4" max="4" width="14.7109375" style="18" customWidth="1"/>
    <col min="5" max="7" width="24.85546875" customWidth="1"/>
    <col min="8" max="8" width="15.140625" customWidth="1"/>
    <col min="9" max="9" width="12.140625" customWidth="1"/>
  </cols>
  <sheetData>
    <row r="1" spans="1:9" ht="34.5" customHeight="1" x14ac:dyDescent="0.3">
      <c r="A1" s="32" t="s">
        <v>21</v>
      </c>
      <c r="B1" s="33" t="s">
        <v>5</v>
      </c>
      <c r="C1" s="33" t="e">
        <f>MATCH(0,C2:C5001,0)</f>
        <v>#N/A</v>
      </c>
      <c r="D1" s="33">
        <f>MATCH(0,D2:D5001,0)</f>
        <v>2</v>
      </c>
      <c r="E1" s="3" t="s">
        <v>6</v>
      </c>
      <c r="G1" s="34" t="s">
        <v>23</v>
      </c>
      <c r="H1" s="34" t="e">
        <f>VLOOKUP(FORM!C5&amp;FORM!C6,BALANCES!$A:$D,4,FALSE)</f>
        <v>#N/A</v>
      </c>
      <c r="I1" s="34" t="e">
        <f>MATCH(FORM!C5&amp;FORM!C6,BALANCES!A:A,0)</f>
        <v>#N/A</v>
      </c>
    </row>
    <row r="2" spans="1:9" x14ac:dyDescent="0.25">
      <c r="A2" t="str">
        <f>B2&amp;C2</f>
        <v>ENTER AENTER B</v>
      </c>
      <c r="B2" s="36" t="s">
        <v>26</v>
      </c>
      <c r="C2" s="31" t="s">
        <v>27</v>
      </c>
      <c r="D2" s="31">
        <v>1</v>
      </c>
      <c r="G2" s="43" t="s">
        <v>24</v>
      </c>
      <c r="H2" s="43"/>
      <c r="I2" s="43"/>
    </row>
    <row r="3" spans="1:9" x14ac:dyDescent="0.25">
      <c r="A3" t="str">
        <f t="shared" ref="A3:A66" si="0">B3&amp;C3</f>
        <v>ENTER AENTER B</v>
      </c>
      <c r="B3" s="37" t="s">
        <v>26</v>
      </c>
      <c r="C3" s="31" t="s">
        <v>27</v>
      </c>
      <c r="D3" s="31">
        <v>0</v>
      </c>
      <c r="G3" s="43"/>
      <c r="H3" s="43"/>
      <c r="I3" s="43"/>
    </row>
    <row r="4" spans="1:9" x14ac:dyDescent="0.25">
      <c r="A4" t="str">
        <f t="shared" si="0"/>
        <v>ENTER AENTER B</v>
      </c>
      <c r="B4" s="37" t="s">
        <v>26</v>
      </c>
      <c r="C4" s="31" t="s">
        <v>27</v>
      </c>
      <c r="D4" s="31">
        <v>0</v>
      </c>
      <c r="G4" s="43"/>
      <c r="H4" s="43"/>
      <c r="I4" s="43"/>
    </row>
    <row r="5" spans="1:9" ht="15" customHeight="1" x14ac:dyDescent="0.3">
      <c r="A5" t="str">
        <f t="shared" si="0"/>
        <v>ENTER AENTER B</v>
      </c>
      <c r="B5" s="37" t="s">
        <v>26</v>
      </c>
      <c r="C5" s="31" t="s">
        <v>27</v>
      </c>
      <c r="D5" s="31">
        <v>0</v>
      </c>
    </row>
    <row r="6" spans="1:9" ht="15" customHeight="1" x14ac:dyDescent="0.3">
      <c r="A6" t="str">
        <f t="shared" si="0"/>
        <v>ENTER AENTER B</v>
      </c>
      <c r="B6" s="37" t="s">
        <v>26</v>
      </c>
      <c r="C6" s="31" t="s">
        <v>27</v>
      </c>
      <c r="D6" s="31">
        <v>0</v>
      </c>
    </row>
    <row r="7" spans="1:9" ht="14.45" x14ac:dyDescent="0.3">
      <c r="A7" t="str">
        <f t="shared" si="0"/>
        <v>ENTER AENTER B</v>
      </c>
      <c r="B7" s="37" t="s">
        <v>26</v>
      </c>
      <c r="C7" s="31" t="s">
        <v>27</v>
      </c>
      <c r="D7" s="31">
        <v>0</v>
      </c>
    </row>
    <row r="8" spans="1:9" ht="14.45" x14ac:dyDescent="0.3">
      <c r="A8" t="str">
        <f t="shared" si="0"/>
        <v>ENTER AENTER B</v>
      </c>
      <c r="B8" s="37" t="s">
        <v>26</v>
      </c>
      <c r="C8" s="31" t="s">
        <v>27</v>
      </c>
      <c r="D8" s="31">
        <v>0</v>
      </c>
    </row>
    <row r="9" spans="1:9" ht="14.45" x14ac:dyDescent="0.3">
      <c r="A9" t="str">
        <f t="shared" si="0"/>
        <v>ENTER AENTER B</v>
      </c>
      <c r="B9" s="37" t="s">
        <v>26</v>
      </c>
      <c r="C9" s="31" t="s">
        <v>27</v>
      </c>
      <c r="D9" s="31">
        <v>0</v>
      </c>
    </row>
    <row r="10" spans="1:9" ht="14.45" x14ac:dyDescent="0.3">
      <c r="A10" t="str">
        <f t="shared" si="0"/>
        <v>ENTER AENTER B</v>
      </c>
      <c r="B10" s="37" t="s">
        <v>26</v>
      </c>
      <c r="C10" s="31" t="s">
        <v>27</v>
      </c>
      <c r="D10" s="31">
        <v>0</v>
      </c>
    </row>
    <row r="11" spans="1:9" ht="14.45" x14ac:dyDescent="0.3">
      <c r="A11" t="str">
        <f t="shared" si="0"/>
        <v>ENTER AENTER B</v>
      </c>
      <c r="B11" s="37" t="s">
        <v>26</v>
      </c>
      <c r="C11" s="31" t="s">
        <v>27</v>
      </c>
      <c r="D11" s="31">
        <v>0</v>
      </c>
    </row>
    <row r="12" spans="1:9" ht="14.45" x14ac:dyDescent="0.3">
      <c r="A12" t="str">
        <f t="shared" si="0"/>
        <v>ENTER AENTER B</v>
      </c>
      <c r="B12" s="37" t="s">
        <v>26</v>
      </c>
      <c r="C12" s="31" t="s">
        <v>27</v>
      </c>
      <c r="D12" s="31">
        <v>0</v>
      </c>
    </row>
    <row r="13" spans="1:9" ht="14.45" x14ac:dyDescent="0.3">
      <c r="A13" t="str">
        <f t="shared" si="0"/>
        <v>ENTER AENTER B</v>
      </c>
      <c r="B13" s="37" t="s">
        <v>26</v>
      </c>
      <c r="C13" s="31" t="s">
        <v>27</v>
      </c>
      <c r="D13" s="31">
        <v>0</v>
      </c>
    </row>
    <row r="14" spans="1:9" ht="14.45" x14ac:dyDescent="0.3">
      <c r="A14" t="str">
        <f t="shared" si="0"/>
        <v>ENTER AENTER B</v>
      </c>
      <c r="B14" s="37" t="s">
        <v>26</v>
      </c>
      <c r="C14" s="31" t="s">
        <v>27</v>
      </c>
      <c r="D14" s="31">
        <v>0</v>
      </c>
    </row>
    <row r="15" spans="1:9" ht="14.45" x14ac:dyDescent="0.3">
      <c r="A15" t="str">
        <f t="shared" si="0"/>
        <v>ENTER AENTER B</v>
      </c>
      <c r="B15" s="37" t="s">
        <v>26</v>
      </c>
      <c r="C15" s="31" t="s">
        <v>27</v>
      </c>
      <c r="D15" s="31">
        <v>0</v>
      </c>
    </row>
    <row r="16" spans="1:9" ht="14.45" x14ac:dyDescent="0.3">
      <c r="A16" t="str">
        <f t="shared" si="0"/>
        <v>ENTER AENTER B</v>
      </c>
      <c r="B16" s="37" t="s">
        <v>26</v>
      </c>
      <c r="C16" s="31" t="s">
        <v>27</v>
      </c>
      <c r="D16" s="31">
        <v>0</v>
      </c>
    </row>
    <row r="17" spans="1:4" ht="14.45" x14ac:dyDescent="0.3">
      <c r="A17" t="str">
        <f t="shared" si="0"/>
        <v>ENTER AENTER B</v>
      </c>
      <c r="B17" s="37" t="s">
        <v>26</v>
      </c>
      <c r="C17" s="31" t="s">
        <v>27</v>
      </c>
      <c r="D17" s="31">
        <v>0</v>
      </c>
    </row>
    <row r="18" spans="1:4" ht="14.45" x14ac:dyDescent="0.3">
      <c r="A18" t="str">
        <f t="shared" si="0"/>
        <v>ENTER AENTER B</v>
      </c>
      <c r="B18" s="37" t="s">
        <v>26</v>
      </c>
      <c r="C18" s="31" t="s">
        <v>27</v>
      </c>
      <c r="D18" s="31">
        <v>0</v>
      </c>
    </row>
    <row r="19" spans="1:4" x14ac:dyDescent="0.25">
      <c r="A19" t="str">
        <f t="shared" si="0"/>
        <v>ENTER AENTER B</v>
      </c>
      <c r="B19" s="37" t="s">
        <v>26</v>
      </c>
      <c r="C19" s="31" t="s">
        <v>27</v>
      </c>
      <c r="D19" s="31">
        <v>0</v>
      </c>
    </row>
    <row r="20" spans="1:4" x14ac:dyDescent="0.25">
      <c r="A20" t="str">
        <f t="shared" si="0"/>
        <v>ENTER AENTER B</v>
      </c>
      <c r="B20" s="37" t="s">
        <v>26</v>
      </c>
      <c r="C20" s="31" t="s">
        <v>27</v>
      </c>
      <c r="D20" s="31">
        <v>0</v>
      </c>
    </row>
    <row r="21" spans="1:4" x14ac:dyDescent="0.25">
      <c r="A21" t="str">
        <f t="shared" si="0"/>
        <v>ENTER AENTER B</v>
      </c>
      <c r="B21" s="37" t="s">
        <v>26</v>
      </c>
      <c r="C21" s="31" t="s">
        <v>27</v>
      </c>
      <c r="D21" s="31">
        <v>0</v>
      </c>
    </row>
    <row r="22" spans="1:4" x14ac:dyDescent="0.25">
      <c r="A22" t="str">
        <f t="shared" si="0"/>
        <v>ENTER AENTER B</v>
      </c>
      <c r="B22" s="37" t="s">
        <v>26</v>
      </c>
      <c r="C22" s="31" t="s">
        <v>27</v>
      </c>
      <c r="D22" s="31">
        <v>0</v>
      </c>
    </row>
    <row r="23" spans="1:4" x14ac:dyDescent="0.25">
      <c r="A23" t="str">
        <f t="shared" si="0"/>
        <v>ENTER AENTER B</v>
      </c>
      <c r="B23" s="37" t="s">
        <v>26</v>
      </c>
      <c r="C23" s="31" t="s">
        <v>27</v>
      </c>
      <c r="D23" s="31">
        <v>0</v>
      </c>
    </row>
    <row r="24" spans="1:4" x14ac:dyDescent="0.25">
      <c r="A24" t="str">
        <f t="shared" si="0"/>
        <v>ENTER AENTER B</v>
      </c>
      <c r="B24" s="37" t="s">
        <v>26</v>
      </c>
      <c r="C24" s="31" t="s">
        <v>27</v>
      </c>
      <c r="D24" s="31">
        <v>0</v>
      </c>
    </row>
    <row r="25" spans="1:4" x14ac:dyDescent="0.25">
      <c r="A25" t="str">
        <f t="shared" si="0"/>
        <v>ENTER AENTER B</v>
      </c>
      <c r="B25" s="37" t="s">
        <v>26</v>
      </c>
      <c r="C25" s="31" t="s">
        <v>27</v>
      </c>
      <c r="D25" s="31">
        <v>0</v>
      </c>
    </row>
    <row r="26" spans="1:4" x14ac:dyDescent="0.25">
      <c r="A26" t="str">
        <f t="shared" si="0"/>
        <v>ENTER AENTER B</v>
      </c>
      <c r="B26" s="37" t="s">
        <v>26</v>
      </c>
      <c r="C26" s="31" t="s">
        <v>27</v>
      </c>
      <c r="D26" s="31">
        <v>0</v>
      </c>
    </row>
    <row r="27" spans="1:4" x14ac:dyDescent="0.25">
      <c r="A27" t="str">
        <f t="shared" si="0"/>
        <v>ENTER AENTER B</v>
      </c>
      <c r="B27" s="37" t="s">
        <v>26</v>
      </c>
      <c r="C27" s="31" t="s">
        <v>27</v>
      </c>
      <c r="D27" s="31">
        <v>0</v>
      </c>
    </row>
    <row r="28" spans="1:4" x14ac:dyDescent="0.25">
      <c r="A28" t="str">
        <f t="shared" si="0"/>
        <v>ENTER AENTER B</v>
      </c>
      <c r="B28" s="37" t="s">
        <v>26</v>
      </c>
      <c r="C28" s="31" t="s">
        <v>27</v>
      </c>
      <c r="D28" s="31">
        <v>0</v>
      </c>
    </row>
    <row r="29" spans="1:4" x14ac:dyDescent="0.25">
      <c r="A29" t="str">
        <f t="shared" si="0"/>
        <v>ENTER AENTER B</v>
      </c>
      <c r="B29" s="37" t="s">
        <v>26</v>
      </c>
      <c r="C29" s="31" t="s">
        <v>27</v>
      </c>
      <c r="D29" s="31">
        <v>0</v>
      </c>
    </row>
    <row r="30" spans="1:4" x14ac:dyDescent="0.25">
      <c r="A30" t="str">
        <f t="shared" si="0"/>
        <v>ENTER AENTER B</v>
      </c>
      <c r="B30" s="37" t="s">
        <v>26</v>
      </c>
      <c r="C30" s="31" t="s">
        <v>27</v>
      </c>
      <c r="D30" s="31">
        <v>0</v>
      </c>
    </row>
    <row r="31" spans="1:4" x14ac:dyDescent="0.25">
      <c r="A31" t="str">
        <f t="shared" si="0"/>
        <v>ENTER AENTER B</v>
      </c>
      <c r="B31" s="37" t="s">
        <v>26</v>
      </c>
      <c r="C31" s="31" t="s">
        <v>27</v>
      </c>
      <c r="D31" s="31">
        <v>0</v>
      </c>
    </row>
    <row r="32" spans="1:4" x14ac:dyDescent="0.25">
      <c r="A32" t="str">
        <f t="shared" si="0"/>
        <v>ENTER AENTER B</v>
      </c>
      <c r="B32" s="37" t="s">
        <v>26</v>
      </c>
      <c r="C32" s="31" t="s">
        <v>27</v>
      </c>
      <c r="D32" s="31">
        <v>0</v>
      </c>
    </row>
    <row r="33" spans="1:4" x14ac:dyDescent="0.25">
      <c r="A33" t="str">
        <f t="shared" si="0"/>
        <v>ENTER AENTER B</v>
      </c>
      <c r="B33" s="37" t="s">
        <v>26</v>
      </c>
      <c r="C33" s="31" t="s">
        <v>27</v>
      </c>
      <c r="D33" s="31">
        <v>0</v>
      </c>
    </row>
    <row r="34" spans="1:4" x14ac:dyDescent="0.25">
      <c r="A34" t="str">
        <f t="shared" si="0"/>
        <v>ENTER AENTER B</v>
      </c>
      <c r="B34" s="37" t="s">
        <v>26</v>
      </c>
      <c r="C34" s="31" t="s">
        <v>27</v>
      </c>
      <c r="D34" s="31">
        <v>0</v>
      </c>
    </row>
    <row r="35" spans="1:4" x14ac:dyDescent="0.25">
      <c r="A35" t="str">
        <f t="shared" si="0"/>
        <v>ENTER AENTER B</v>
      </c>
      <c r="B35" s="37" t="s">
        <v>26</v>
      </c>
      <c r="C35" s="31" t="s">
        <v>27</v>
      </c>
      <c r="D35" s="31">
        <v>0</v>
      </c>
    </row>
    <row r="36" spans="1:4" x14ac:dyDescent="0.25">
      <c r="A36" t="str">
        <f t="shared" si="0"/>
        <v>ENTER AENTER B</v>
      </c>
      <c r="B36" s="37" t="s">
        <v>26</v>
      </c>
      <c r="C36" s="31" t="s">
        <v>27</v>
      </c>
      <c r="D36" s="31">
        <v>0</v>
      </c>
    </row>
    <row r="37" spans="1:4" x14ac:dyDescent="0.25">
      <c r="A37" t="str">
        <f t="shared" si="0"/>
        <v>ENTER AENTER B</v>
      </c>
      <c r="B37" s="37" t="s">
        <v>26</v>
      </c>
      <c r="C37" s="31" t="s">
        <v>27</v>
      </c>
      <c r="D37" s="31">
        <v>0</v>
      </c>
    </row>
    <row r="38" spans="1:4" x14ac:dyDescent="0.25">
      <c r="A38" t="str">
        <f t="shared" si="0"/>
        <v>ENTER AENTER B</v>
      </c>
      <c r="B38" s="37" t="s">
        <v>26</v>
      </c>
      <c r="C38" s="31" t="s">
        <v>27</v>
      </c>
      <c r="D38" s="31">
        <v>0</v>
      </c>
    </row>
    <row r="39" spans="1:4" x14ac:dyDescent="0.25">
      <c r="A39" t="str">
        <f t="shared" si="0"/>
        <v>ENTER AENTER B</v>
      </c>
      <c r="B39" s="37" t="s">
        <v>26</v>
      </c>
      <c r="C39" s="31" t="s">
        <v>27</v>
      </c>
      <c r="D39" s="31">
        <v>0</v>
      </c>
    </row>
    <row r="40" spans="1:4" x14ac:dyDescent="0.25">
      <c r="A40" t="str">
        <f t="shared" si="0"/>
        <v>ENTER AENTER B</v>
      </c>
      <c r="B40" s="37" t="s">
        <v>26</v>
      </c>
      <c r="C40" s="31" t="s">
        <v>27</v>
      </c>
      <c r="D40" s="31">
        <v>0</v>
      </c>
    </row>
    <row r="41" spans="1:4" x14ac:dyDescent="0.25">
      <c r="A41" t="str">
        <f t="shared" si="0"/>
        <v>ENTER AENTER B</v>
      </c>
      <c r="B41" s="37" t="s">
        <v>26</v>
      </c>
      <c r="C41" s="31" t="s">
        <v>27</v>
      </c>
      <c r="D41" s="31">
        <v>0</v>
      </c>
    </row>
    <row r="42" spans="1:4" x14ac:dyDescent="0.25">
      <c r="A42" t="str">
        <f t="shared" si="0"/>
        <v>ENTER AENTER B</v>
      </c>
      <c r="B42" s="37" t="s">
        <v>26</v>
      </c>
      <c r="C42" s="31" t="s">
        <v>27</v>
      </c>
      <c r="D42" s="31">
        <v>0</v>
      </c>
    </row>
    <row r="43" spans="1:4" x14ac:dyDescent="0.25">
      <c r="A43" t="str">
        <f t="shared" si="0"/>
        <v>ENTER AENTER B</v>
      </c>
      <c r="B43" s="37" t="s">
        <v>26</v>
      </c>
      <c r="C43" s="31" t="s">
        <v>27</v>
      </c>
      <c r="D43" s="31">
        <v>0</v>
      </c>
    </row>
    <row r="44" spans="1:4" x14ac:dyDescent="0.25">
      <c r="A44" t="str">
        <f t="shared" si="0"/>
        <v>ENTER AENTER B</v>
      </c>
      <c r="B44" s="37" t="s">
        <v>26</v>
      </c>
      <c r="C44" s="31" t="s">
        <v>27</v>
      </c>
      <c r="D44" s="31">
        <v>0</v>
      </c>
    </row>
    <row r="45" spans="1:4" x14ac:dyDescent="0.25">
      <c r="A45" t="str">
        <f t="shared" si="0"/>
        <v>ENTER AENTER B</v>
      </c>
      <c r="B45" s="37" t="s">
        <v>26</v>
      </c>
      <c r="C45" s="31" t="s">
        <v>27</v>
      </c>
      <c r="D45" s="31">
        <v>0</v>
      </c>
    </row>
    <row r="46" spans="1:4" x14ac:dyDescent="0.25">
      <c r="A46" t="str">
        <f t="shared" si="0"/>
        <v>ENTER AENTER B</v>
      </c>
      <c r="B46" s="37" t="s">
        <v>26</v>
      </c>
      <c r="C46" s="31" t="s">
        <v>27</v>
      </c>
      <c r="D46" s="31">
        <v>0</v>
      </c>
    </row>
    <row r="47" spans="1:4" x14ac:dyDescent="0.25">
      <c r="A47" t="str">
        <f t="shared" si="0"/>
        <v>ENTER AENTER B</v>
      </c>
      <c r="B47" s="37" t="s">
        <v>26</v>
      </c>
      <c r="C47" s="31" t="s">
        <v>27</v>
      </c>
      <c r="D47" s="31">
        <v>0</v>
      </c>
    </row>
    <row r="48" spans="1:4" x14ac:dyDescent="0.25">
      <c r="A48" t="str">
        <f t="shared" si="0"/>
        <v>ENTER AENTER B</v>
      </c>
      <c r="B48" s="37" t="s">
        <v>26</v>
      </c>
      <c r="C48" s="31" t="s">
        <v>27</v>
      </c>
      <c r="D48" s="31">
        <v>0</v>
      </c>
    </row>
    <row r="49" spans="1:4" x14ac:dyDescent="0.25">
      <c r="A49" t="str">
        <f t="shared" si="0"/>
        <v>ENTER AENTER B</v>
      </c>
      <c r="B49" s="37" t="s">
        <v>26</v>
      </c>
      <c r="C49" s="31" t="s">
        <v>27</v>
      </c>
      <c r="D49" s="31">
        <v>0</v>
      </c>
    </row>
    <row r="50" spans="1:4" x14ac:dyDescent="0.25">
      <c r="A50" t="str">
        <f t="shared" si="0"/>
        <v>ENTER AENTER B</v>
      </c>
      <c r="B50" s="37" t="s">
        <v>26</v>
      </c>
      <c r="C50" s="31" t="s">
        <v>27</v>
      </c>
      <c r="D50" s="31">
        <v>0</v>
      </c>
    </row>
    <row r="51" spans="1:4" x14ac:dyDescent="0.25">
      <c r="A51" t="str">
        <f t="shared" si="0"/>
        <v>ENTER AENTER B</v>
      </c>
      <c r="B51" s="37" t="s">
        <v>26</v>
      </c>
      <c r="C51" s="31" t="s">
        <v>27</v>
      </c>
      <c r="D51" s="31">
        <v>0</v>
      </c>
    </row>
    <row r="52" spans="1:4" x14ac:dyDescent="0.25">
      <c r="A52" t="str">
        <f t="shared" si="0"/>
        <v>ENTER AENTER B</v>
      </c>
      <c r="B52" s="37" t="s">
        <v>26</v>
      </c>
      <c r="C52" s="31" t="s">
        <v>27</v>
      </c>
      <c r="D52" s="31">
        <v>0</v>
      </c>
    </row>
    <row r="53" spans="1:4" x14ac:dyDescent="0.25">
      <c r="A53" t="str">
        <f t="shared" si="0"/>
        <v>ENTER AENTER B</v>
      </c>
      <c r="B53" s="37" t="s">
        <v>26</v>
      </c>
      <c r="C53" s="31" t="s">
        <v>27</v>
      </c>
      <c r="D53" s="31">
        <v>0</v>
      </c>
    </row>
    <row r="54" spans="1:4" x14ac:dyDescent="0.25">
      <c r="A54" t="str">
        <f t="shared" si="0"/>
        <v>ENTER AENTER B</v>
      </c>
      <c r="B54" s="37" t="s">
        <v>26</v>
      </c>
      <c r="C54" s="31" t="s">
        <v>27</v>
      </c>
      <c r="D54" s="31">
        <v>0</v>
      </c>
    </row>
    <row r="55" spans="1:4" x14ac:dyDescent="0.25">
      <c r="A55" t="str">
        <f t="shared" si="0"/>
        <v>ENTER AENTER B</v>
      </c>
      <c r="B55" s="37" t="s">
        <v>26</v>
      </c>
      <c r="C55" s="31" t="s">
        <v>27</v>
      </c>
      <c r="D55" s="31">
        <v>0</v>
      </c>
    </row>
    <row r="56" spans="1:4" x14ac:dyDescent="0.25">
      <c r="A56" t="str">
        <f t="shared" si="0"/>
        <v>ENTER AENTER B</v>
      </c>
      <c r="B56" s="37" t="s">
        <v>26</v>
      </c>
      <c r="C56" s="31" t="s">
        <v>27</v>
      </c>
      <c r="D56" s="31">
        <v>0</v>
      </c>
    </row>
    <row r="57" spans="1:4" x14ac:dyDescent="0.25">
      <c r="A57" t="str">
        <f t="shared" si="0"/>
        <v>ENTER AENTER B</v>
      </c>
      <c r="B57" s="37" t="s">
        <v>26</v>
      </c>
      <c r="C57" s="31" t="s">
        <v>27</v>
      </c>
      <c r="D57" s="31">
        <v>0</v>
      </c>
    </row>
    <row r="58" spans="1:4" x14ac:dyDescent="0.25">
      <c r="A58" t="str">
        <f t="shared" si="0"/>
        <v>ENTER AENTER B</v>
      </c>
      <c r="B58" s="37" t="s">
        <v>26</v>
      </c>
      <c r="C58" s="31" t="s">
        <v>27</v>
      </c>
      <c r="D58" s="31">
        <v>0</v>
      </c>
    </row>
    <row r="59" spans="1:4" x14ac:dyDescent="0.25">
      <c r="A59" t="str">
        <f t="shared" si="0"/>
        <v>ENTER AENTER B</v>
      </c>
      <c r="B59" s="37" t="s">
        <v>26</v>
      </c>
      <c r="C59" s="31" t="s">
        <v>27</v>
      </c>
      <c r="D59" s="31">
        <v>0</v>
      </c>
    </row>
    <row r="60" spans="1:4" x14ac:dyDescent="0.25">
      <c r="A60" t="str">
        <f t="shared" si="0"/>
        <v>ENTER AENTER B</v>
      </c>
      <c r="B60" s="37" t="s">
        <v>26</v>
      </c>
      <c r="C60" s="31" t="s">
        <v>27</v>
      </c>
      <c r="D60" s="31">
        <v>0</v>
      </c>
    </row>
    <row r="61" spans="1:4" x14ac:dyDescent="0.25">
      <c r="A61" t="str">
        <f t="shared" si="0"/>
        <v>ENTER AENTER B</v>
      </c>
      <c r="B61" s="37" t="s">
        <v>26</v>
      </c>
      <c r="C61" s="31" t="s">
        <v>27</v>
      </c>
      <c r="D61" s="31">
        <v>0</v>
      </c>
    </row>
    <row r="62" spans="1:4" x14ac:dyDescent="0.25">
      <c r="A62" t="str">
        <f t="shared" si="0"/>
        <v>ENTER AENTER B</v>
      </c>
      <c r="B62" s="37" t="s">
        <v>26</v>
      </c>
      <c r="C62" s="31" t="s">
        <v>27</v>
      </c>
      <c r="D62" s="31">
        <v>0</v>
      </c>
    </row>
    <row r="63" spans="1:4" x14ac:dyDescent="0.25">
      <c r="A63" t="str">
        <f t="shared" si="0"/>
        <v>ENTER AENTER B</v>
      </c>
      <c r="B63" s="37" t="s">
        <v>26</v>
      </c>
      <c r="C63" s="31" t="s">
        <v>27</v>
      </c>
      <c r="D63" s="31">
        <v>0</v>
      </c>
    </row>
    <row r="64" spans="1:4" x14ac:dyDescent="0.25">
      <c r="A64" t="str">
        <f t="shared" si="0"/>
        <v>ENTER AENTER B</v>
      </c>
      <c r="B64" s="37" t="s">
        <v>26</v>
      </c>
      <c r="C64" s="31" t="s">
        <v>27</v>
      </c>
      <c r="D64" s="31">
        <v>0</v>
      </c>
    </row>
    <row r="65" spans="1:4" x14ac:dyDescent="0.25">
      <c r="A65" t="str">
        <f t="shared" si="0"/>
        <v>ENTER AENTER B</v>
      </c>
      <c r="B65" s="37" t="s">
        <v>26</v>
      </c>
      <c r="C65" s="31" t="s">
        <v>27</v>
      </c>
      <c r="D65" s="31">
        <v>0</v>
      </c>
    </row>
    <row r="66" spans="1:4" x14ac:dyDescent="0.25">
      <c r="A66" t="str">
        <f t="shared" si="0"/>
        <v>ENTER AENTER B</v>
      </c>
      <c r="B66" s="37" t="s">
        <v>26</v>
      </c>
      <c r="C66" s="31" t="s">
        <v>27</v>
      </c>
      <c r="D66" s="31">
        <v>0</v>
      </c>
    </row>
    <row r="67" spans="1:4" x14ac:dyDescent="0.25">
      <c r="A67" t="str">
        <f t="shared" ref="A67:A101" si="1">B67&amp;C67</f>
        <v>ENTER AENTER B</v>
      </c>
      <c r="B67" s="37" t="s">
        <v>26</v>
      </c>
      <c r="C67" s="31" t="s">
        <v>27</v>
      </c>
      <c r="D67" s="31">
        <v>0</v>
      </c>
    </row>
    <row r="68" spans="1:4" x14ac:dyDescent="0.25">
      <c r="A68" t="str">
        <f t="shared" si="1"/>
        <v>ENTER AENTER B</v>
      </c>
      <c r="B68" s="37" t="s">
        <v>26</v>
      </c>
      <c r="C68" s="31" t="s">
        <v>27</v>
      </c>
      <c r="D68" s="31">
        <v>0</v>
      </c>
    </row>
    <row r="69" spans="1:4" x14ac:dyDescent="0.25">
      <c r="A69" t="str">
        <f t="shared" si="1"/>
        <v>ENTER AENTER B</v>
      </c>
      <c r="B69" s="37" t="s">
        <v>26</v>
      </c>
      <c r="C69" s="31" t="s">
        <v>27</v>
      </c>
      <c r="D69" s="31">
        <v>0</v>
      </c>
    </row>
    <row r="70" spans="1:4" x14ac:dyDescent="0.25">
      <c r="A70" t="str">
        <f t="shared" si="1"/>
        <v>ENTER AENTER B</v>
      </c>
      <c r="B70" s="37" t="s">
        <v>26</v>
      </c>
      <c r="C70" s="31" t="s">
        <v>27</v>
      </c>
      <c r="D70" s="31">
        <v>0</v>
      </c>
    </row>
    <row r="71" spans="1:4" x14ac:dyDescent="0.25">
      <c r="A71" t="str">
        <f t="shared" si="1"/>
        <v>ENTER AENTER B</v>
      </c>
      <c r="B71" s="37" t="s">
        <v>26</v>
      </c>
      <c r="C71" s="31" t="s">
        <v>27</v>
      </c>
      <c r="D71" s="31">
        <v>0</v>
      </c>
    </row>
    <row r="72" spans="1:4" x14ac:dyDescent="0.25">
      <c r="A72" t="str">
        <f t="shared" si="1"/>
        <v>ENTER AENTER B</v>
      </c>
      <c r="B72" s="37" t="s">
        <v>26</v>
      </c>
      <c r="C72" s="31" t="s">
        <v>27</v>
      </c>
      <c r="D72" s="31">
        <v>0</v>
      </c>
    </row>
    <row r="73" spans="1:4" x14ac:dyDescent="0.25">
      <c r="A73" t="str">
        <f t="shared" si="1"/>
        <v>ENTER AENTER B</v>
      </c>
      <c r="B73" s="37" t="s">
        <v>26</v>
      </c>
      <c r="C73" s="31" t="s">
        <v>27</v>
      </c>
      <c r="D73" s="31">
        <v>0</v>
      </c>
    </row>
    <row r="74" spans="1:4" x14ac:dyDescent="0.25">
      <c r="A74" t="str">
        <f t="shared" si="1"/>
        <v>ENTER AENTER B</v>
      </c>
      <c r="B74" s="37" t="s">
        <v>26</v>
      </c>
      <c r="C74" s="31" t="s">
        <v>27</v>
      </c>
      <c r="D74" s="31">
        <v>0</v>
      </c>
    </row>
    <row r="75" spans="1:4" x14ac:dyDescent="0.25">
      <c r="A75" t="str">
        <f t="shared" si="1"/>
        <v>ENTER AENTER B</v>
      </c>
      <c r="B75" s="37" t="s">
        <v>26</v>
      </c>
      <c r="C75" s="31" t="s">
        <v>27</v>
      </c>
      <c r="D75" s="31">
        <v>0</v>
      </c>
    </row>
    <row r="76" spans="1:4" x14ac:dyDescent="0.25">
      <c r="A76" t="str">
        <f t="shared" si="1"/>
        <v>ENTER AENTER B</v>
      </c>
      <c r="B76" s="37" t="s">
        <v>26</v>
      </c>
      <c r="C76" s="31" t="s">
        <v>27</v>
      </c>
      <c r="D76" s="31">
        <v>0</v>
      </c>
    </row>
    <row r="77" spans="1:4" x14ac:dyDescent="0.25">
      <c r="A77" t="str">
        <f t="shared" si="1"/>
        <v>ENTER AENTER B</v>
      </c>
      <c r="B77" s="37" t="s">
        <v>26</v>
      </c>
      <c r="C77" s="31" t="s">
        <v>27</v>
      </c>
      <c r="D77" s="31">
        <v>0</v>
      </c>
    </row>
    <row r="78" spans="1:4" x14ac:dyDescent="0.25">
      <c r="A78" t="str">
        <f t="shared" si="1"/>
        <v>ENTER AENTER B</v>
      </c>
      <c r="B78" s="37" t="s">
        <v>26</v>
      </c>
      <c r="C78" s="31" t="s">
        <v>27</v>
      </c>
      <c r="D78" s="31">
        <v>0</v>
      </c>
    </row>
    <row r="79" spans="1:4" x14ac:dyDescent="0.25">
      <c r="A79" t="str">
        <f t="shared" si="1"/>
        <v>ENTER AENTER B</v>
      </c>
      <c r="B79" s="37" t="s">
        <v>26</v>
      </c>
      <c r="C79" s="31" t="s">
        <v>27</v>
      </c>
      <c r="D79" s="31">
        <v>0</v>
      </c>
    </row>
    <row r="80" spans="1:4" x14ac:dyDescent="0.25">
      <c r="A80" t="str">
        <f t="shared" si="1"/>
        <v>ENTER AENTER B</v>
      </c>
      <c r="B80" s="37" t="s">
        <v>26</v>
      </c>
      <c r="C80" s="31" t="s">
        <v>27</v>
      </c>
      <c r="D80" s="31">
        <v>0</v>
      </c>
    </row>
    <row r="81" spans="1:4" x14ac:dyDescent="0.25">
      <c r="A81" t="str">
        <f t="shared" si="1"/>
        <v>ENTER AENTER B</v>
      </c>
      <c r="B81" s="37" t="s">
        <v>26</v>
      </c>
      <c r="C81" s="31" t="s">
        <v>27</v>
      </c>
      <c r="D81" s="31">
        <v>0</v>
      </c>
    </row>
    <row r="82" spans="1:4" x14ac:dyDescent="0.25">
      <c r="A82" t="str">
        <f t="shared" si="1"/>
        <v>ENTER AENTER B</v>
      </c>
      <c r="B82" s="37" t="s">
        <v>26</v>
      </c>
      <c r="C82" s="31" t="s">
        <v>27</v>
      </c>
      <c r="D82" s="31">
        <v>0</v>
      </c>
    </row>
    <row r="83" spans="1:4" x14ac:dyDescent="0.25">
      <c r="A83" t="str">
        <f t="shared" si="1"/>
        <v>ENTER AENTER B</v>
      </c>
      <c r="B83" s="37" t="s">
        <v>26</v>
      </c>
      <c r="C83" s="31" t="s">
        <v>27</v>
      </c>
      <c r="D83" s="31">
        <v>0</v>
      </c>
    </row>
    <row r="84" spans="1:4" x14ac:dyDescent="0.25">
      <c r="A84" t="str">
        <f t="shared" si="1"/>
        <v>ENTER AENTER B</v>
      </c>
      <c r="B84" s="37" t="s">
        <v>26</v>
      </c>
      <c r="C84" s="31" t="s">
        <v>27</v>
      </c>
      <c r="D84" s="31">
        <v>0</v>
      </c>
    </row>
    <row r="85" spans="1:4" x14ac:dyDescent="0.25">
      <c r="A85" t="str">
        <f t="shared" si="1"/>
        <v>ENTER AENTER B</v>
      </c>
      <c r="B85" s="37" t="s">
        <v>26</v>
      </c>
      <c r="C85" s="31" t="s">
        <v>27</v>
      </c>
      <c r="D85" s="31">
        <v>0</v>
      </c>
    </row>
    <row r="86" spans="1:4" x14ac:dyDescent="0.25">
      <c r="A86" t="str">
        <f t="shared" si="1"/>
        <v>ENTER AENTER B</v>
      </c>
      <c r="B86" s="37" t="s">
        <v>26</v>
      </c>
      <c r="C86" s="31" t="s">
        <v>27</v>
      </c>
      <c r="D86" s="31">
        <v>0</v>
      </c>
    </row>
    <row r="87" spans="1:4" x14ac:dyDescent="0.25">
      <c r="A87" t="str">
        <f t="shared" si="1"/>
        <v>ENTER AENTER B</v>
      </c>
      <c r="B87" s="37" t="s">
        <v>26</v>
      </c>
      <c r="C87" s="31" t="s">
        <v>27</v>
      </c>
      <c r="D87" s="31">
        <v>0</v>
      </c>
    </row>
    <row r="88" spans="1:4" x14ac:dyDescent="0.25">
      <c r="A88" t="str">
        <f t="shared" si="1"/>
        <v>ENTER AENTER B</v>
      </c>
      <c r="B88" s="37" t="s">
        <v>26</v>
      </c>
      <c r="C88" s="31" t="s">
        <v>27</v>
      </c>
      <c r="D88" s="31">
        <v>0</v>
      </c>
    </row>
    <row r="89" spans="1:4" x14ac:dyDescent="0.25">
      <c r="A89" t="str">
        <f t="shared" si="1"/>
        <v>ENTER AENTER B</v>
      </c>
      <c r="B89" s="37" t="s">
        <v>26</v>
      </c>
      <c r="C89" s="31" t="s">
        <v>27</v>
      </c>
      <c r="D89" s="31">
        <v>0</v>
      </c>
    </row>
    <row r="90" spans="1:4" x14ac:dyDescent="0.25">
      <c r="A90" t="str">
        <f t="shared" si="1"/>
        <v>ENTER AENTER B</v>
      </c>
      <c r="B90" s="37" t="s">
        <v>26</v>
      </c>
      <c r="C90" s="31" t="s">
        <v>27</v>
      </c>
      <c r="D90" s="31">
        <v>0</v>
      </c>
    </row>
    <row r="91" spans="1:4" x14ac:dyDescent="0.25">
      <c r="A91" t="str">
        <f t="shared" si="1"/>
        <v>ENTER AENTER B</v>
      </c>
      <c r="B91" s="37" t="s">
        <v>26</v>
      </c>
      <c r="C91" s="31" t="s">
        <v>27</v>
      </c>
      <c r="D91" s="31">
        <v>0</v>
      </c>
    </row>
    <row r="92" spans="1:4" x14ac:dyDescent="0.25">
      <c r="A92" t="str">
        <f t="shared" si="1"/>
        <v>ENTER AENTER B</v>
      </c>
      <c r="B92" s="37" t="s">
        <v>26</v>
      </c>
      <c r="C92" s="31" t="s">
        <v>27</v>
      </c>
      <c r="D92" s="31">
        <v>0</v>
      </c>
    </row>
    <row r="93" spans="1:4" x14ac:dyDescent="0.25">
      <c r="A93" t="str">
        <f t="shared" si="1"/>
        <v>ENTER AENTER B</v>
      </c>
      <c r="B93" s="37" t="s">
        <v>26</v>
      </c>
      <c r="C93" s="31" t="s">
        <v>27</v>
      </c>
      <c r="D93" s="31">
        <v>0</v>
      </c>
    </row>
    <row r="94" spans="1:4" x14ac:dyDescent="0.25">
      <c r="A94" t="str">
        <f t="shared" si="1"/>
        <v>ENTER AENTER B</v>
      </c>
      <c r="B94" s="37" t="s">
        <v>26</v>
      </c>
      <c r="C94" s="31" t="s">
        <v>27</v>
      </c>
      <c r="D94" s="31">
        <v>0</v>
      </c>
    </row>
    <row r="95" spans="1:4" x14ac:dyDescent="0.25">
      <c r="A95" t="str">
        <f t="shared" si="1"/>
        <v>ENTER AENTER B</v>
      </c>
      <c r="B95" s="37" t="s">
        <v>26</v>
      </c>
      <c r="C95" s="31" t="s">
        <v>27</v>
      </c>
      <c r="D95" s="31">
        <v>0</v>
      </c>
    </row>
    <row r="96" spans="1:4" x14ac:dyDescent="0.25">
      <c r="A96" t="str">
        <f t="shared" si="1"/>
        <v>ENTER AENTER B</v>
      </c>
      <c r="B96" s="37" t="s">
        <v>26</v>
      </c>
      <c r="C96" s="31" t="s">
        <v>27</v>
      </c>
      <c r="D96" s="31">
        <v>0</v>
      </c>
    </row>
    <row r="97" spans="1:4" x14ac:dyDescent="0.25">
      <c r="A97" t="str">
        <f t="shared" si="1"/>
        <v>ENTER AENTER B</v>
      </c>
      <c r="B97" s="37" t="s">
        <v>26</v>
      </c>
      <c r="C97" s="31" t="s">
        <v>27</v>
      </c>
      <c r="D97" s="31">
        <v>0</v>
      </c>
    </row>
    <row r="98" spans="1:4" x14ac:dyDescent="0.25">
      <c r="A98" t="str">
        <f t="shared" si="1"/>
        <v>ENTER AENTER B</v>
      </c>
      <c r="B98" s="37" t="s">
        <v>26</v>
      </c>
      <c r="C98" s="31" t="s">
        <v>27</v>
      </c>
      <c r="D98" s="31">
        <v>0</v>
      </c>
    </row>
    <row r="99" spans="1:4" x14ac:dyDescent="0.25">
      <c r="A99" t="str">
        <f t="shared" si="1"/>
        <v>ENTER AENTER B</v>
      </c>
      <c r="B99" s="37" t="s">
        <v>26</v>
      </c>
      <c r="C99" s="31" t="s">
        <v>27</v>
      </c>
      <c r="D99" s="31">
        <v>0</v>
      </c>
    </row>
    <row r="100" spans="1:4" x14ac:dyDescent="0.25">
      <c r="A100" t="str">
        <f t="shared" si="1"/>
        <v>ENTER AENTER B</v>
      </c>
      <c r="B100" s="37" t="s">
        <v>26</v>
      </c>
      <c r="C100" s="31" t="s">
        <v>27</v>
      </c>
      <c r="D100" s="31">
        <v>0</v>
      </c>
    </row>
    <row r="101" spans="1:4" x14ac:dyDescent="0.25">
      <c r="A101" t="str">
        <f t="shared" si="1"/>
        <v>ENTER AENTER B</v>
      </c>
      <c r="B101" s="37" t="s">
        <v>26</v>
      </c>
      <c r="C101" s="31" t="s">
        <v>27</v>
      </c>
      <c r="D101" s="31">
        <v>0</v>
      </c>
    </row>
    <row r="102" spans="1:4" x14ac:dyDescent="0.25">
      <c r="B102" s="29"/>
      <c r="C102" s="29"/>
      <c r="D102" s="29"/>
    </row>
    <row r="103" spans="1:4" x14ac:dyDescent="0.25">
      <c r="B103" s="29"/>
      <c r="C103" s="29"/>
      <c r="D103" s="29"/>
    </row>
    <row r="104" spans="1:4" x14ac:dyDescent="0.25">
      <c r="B104" s="29"/>
      <c r="C104" s="29"/>
      <c r="D104" s="29"/>
    </row>
    <row r="105" spans="1:4" x14ac:dyDescent="0.25">
      <c r="B105" s="29"/>
      <c r="C105" s="29"/>
      <c r="D105" s="29"/>
    </row>
    <row r="106" spans="1:4" x14ac:dyDescent="0.25">
      <c r="B106" s="29"/>
      <c r="C106" s="29"/>
      <c r="D106" s="29"/>
    </row>
    <row r="107" spans="1:4" x14ac:dyDescent="0.25">
      <c r="B107" s="29"/>
      <c r="C107" s="29"/>
      <c r="D107" s="29"/>
    </row>
    <row r="108" spans="1:4" x14ac:dyDescent="0.25">
      <c r="B108" s="29"/>
      <c r="C108" s="29"/>
      <c r="D108" s="29"/>
    </row>
    <row r="109" spans="1:4" x14ac:dyDescent="0.25">
      <c r="B109" s="29"/>
      <c r="C109" s="29"/>
      <c r="D109" s="29"/>
    </row>
    <row r="110" spans="1:4" x14ac:dyDescent="0.25">
      <c r="B110" s="29"/>
      <c r="C110" s="29"/>
      <c r="D110" s="29"/>
    </row>
    <row r="111" spans="1:4" x14ac:dyDescent="0.25">
      <c r="B111" s="29"/>
      <c r="C111" s="29"/>
      <c r="D111" s="29"/>
    </row>
    <row r="112" spans="1:4" x14ac:dyDescent="0.25">
      <c r="B112" s="29"/>
      <c r="C112" s="29"/>
      <c r="D112" s="29"/>
    </row>
    <row r="113" spans="2:4" x14ac:dyDescent="0.25">
      <c r="B113" s="29"/>
      <c r="C113" s="29"/>
      <c r="D113" s="29"/>
    </row>
    <row r="114" spans="2:4" x14ac:dyDescent="0.25">
      <c r="B114" s="29"/>
      <c r="C114" s="29"/>
      <c r="D114" s="29"/>
    </row>
    <row r="115" spans="2:4" x14ac:dyDescent="0.25">
      <c r="B115" s="29"/>
      <c r="C115" s="29"/>
      <c r="D115" s="29"/>
    </row>
    <row r="116" spans="2:4" x14ac:dyDescent="0.25">
      <c r="B116" s="29"/>
      <c r="C116" s="29"/>
      <c r="D116" s="29"/>
    </row>
    <row r="117" spans="2:4" x14ac:dyDescent="0.25">
      <c r="B117" s="29"/>
      <c r="C117" s="29"/>
      <c r="D117" s="29"/>
    </row>
    <row r="118" spans="2:4" x14ac:dyDescent="0.25">
      <c r="B118" s="29"/>
      <c r="C118" s="29"/>
      <c r="D118" s="29"/>
    </row>
    <row r="119" spans="2:4" x14ac:dyDescent="0.25">
      <c r="B119" s="29"/>
      <c r="C119" s="29"/>
      <c r="D119" s="29"/>
    </row>
    <row r="120" spans="2:4" x14ac:dyDescent="0.25">
      <c r="B120" s="29"/>
      <c r="C120" s="29"/>
      <c r="D120" s="29"/>
    </row>
    <row r="121" spans="2:4" x14ac:dyDescent="0.25">
      <c r="B121" s="29"/>
      <c r="C121" s="29"/>
      <c r="D121" s="29"/>
    </row>
    <row r="122" spans="2:4" x14ac:dyDescent="0.25">
      <c r="B122" s="29"/>
      <c r="C122" s="29"/>
      <c r="D122" s="29"/>
    </row>
    <row r="123" spans="2:4" x14ac:dyDescent="0.25">
      <c r="B123" s="29"/>
      <c r="C123" s="29"/>
      <c r="D123" s="29"/>
    </row>
    <row r="124" spans="2:4" x14ac:dyDescent="0.25">
      <c r="B124" s="29"/>
      <c r="C124" s="29"/>
      <c r="D124" s="29"/>
    </row>
    <row r="125" spans="2:4" x14ac:dyDescent="0.25">
      <c r="B125" s="29"/>
      <c r="C125" s="29"/>
      <c r="D125" s="29"/>
    </row>
    <row r="126" spans="2:4" x14ac:dyDescent="0.25">
      <c r="B126" s="29"/>
      <c r="C126" s="29"/>
      <c r="D126" s="29"/>
    </row>
    <row r="127" spans="2:4" x14ac:dyDescent="0.25">
      <c r="B127" s="29"/>
      <c r="C127" s="29"/>
      <c r="D127" s="29"/>
    </row>
    <row r="128" spans="2:4" x14ac:dyDescent="0.25">
      <c r="B128" s="29"/>
      <c r="C128" s="29"/>
      <c r="D128" s="29"/>
    </row>
    <row r="129" spans="2:4" x14ac:dyDescent="0.25">
      <c r="B129" s="29"/>
      <c r="C129" s="29"/>
      <c r="D129" s="29"/>
    </row>
    <row r="130" spans="2:4" x14ac:dyDescent="0.25">
      <c r="B130" s="29"/>
      <c r="C130" s="29"/>
      <c r="D130" s="29"/>
    </row>
    <row r="131" spans="2:4" x14ac:dyDescent="0.25">
      <c r="B131" s="29"/>
      <c r="C131" s="29"/>
      <c r="D131" s="29"/>
    </row>
    <row r="132" spans="2:4" x14ac:dyDescent="0.25">
      <c r="B132" s="29"/>
      <c r="C132" s="29"/>
      <c r="D132" s="29"/>
    </row>
    <row r="133" spans="2:4" x14ac:dyDescent="0.25">
      <c r="B133" s="29"/>
      <c r="C133" s="29"/>
      <c r="D133" s="29"/>
    </row>
    <row r="134" spans="2:4" x14ac:dyDescent="0.25">
      <c r="B134" s="29"/>
      <c r="C134" s="29"/>
      <c r="D134" s="29"/>
    </row>
    <row r="135" spans="2:4" x14ac:dyDescent="0.25">
      <c r="B135" s="29"/>
      <c r="C135" s="29"/>
      <c r="D135" s="29"/>
    </row>
    <row r="136" spans="2:4" x14ac:dyDescent="0.25">
      <c r="B136" s="29"/>
      <c r="C136" s="29"/>
      <c r="D136" s="29"/>
    </row>
    <row r="137" spans="2:4" x14ac:dyDescent="0.25">
      <c r="B137" s="29"/>
      <c r="C137" s="29"/>
      <c r="D137" s="29"/>
    </row>
    <row r="138" spans="2:4" x14ac:dyDescent="0.25">
      <c r="B138" s="29"/>
      <c r="C138" s="29"/>
      <c r="D138" s="29"/>
    </row>
    <row r="139" spans="2:4" x14ac:dyDescent="0.25">
      <c r="B139" s="29"/>
      <c r="C139" s="29"/>
      <c r="D139" s="29"/>
    </row>
    <row r="140" spans="2:4" x14ac:dyDescent="0.25">
      <c r="B140" s="29"/>
      <c r="C140" s="29"/>
      <c r="D140" s="29"/>
    </row>
    <row r="141" spans="2:4" x14ac:dyDescent="0.25">
      <c r="B141" s="29"/>
      <c r="C141" s="29"/>
      <c r="D141" s="29"/>
    </row>
    <row r="142" spans="2:4" x14ac:dyDescent="0.25">
      <c r="B142" s="29"/>
      <c r="C142" s="29"/>
      <c r="D142" s="29"/>
    </row>
    <row r="143" spans="2:4" x14ac:dyDescent="0.25">
      <c r="B143" s="29"/>
      <c r="C143" s="29"/>
      <c r="D143" s="29"/>
    </row>
    <row r="144" spans="2:4" x14ac:dyDescent="0.25">
      <c r="B144" s="29"/>
      <c r="C144" s="29"/>
      <c r="D144" s="29"/>
    </row>
    <row r="145" spans="2:4" x14ac:dyDescent="0.25">
      <c r="B145" s="29"/>
      <c r="C145" s="29"/>
      <c r="D145" s="29"/>
    </row>
    <row r="146" spans="2:4" x14ac:dyDescent="0.25">
      <c r="B146" s="29"/>
      <c r="C146" s="29"/>
      <c r="D146" s="29"/>
    </row>
    <row r="147" spans="2:4" x14ac:dyDescent="0.25">
      <c r="B147" s="29"/>
      <c r="C147" s="29"/>
      <c r="D147" s="29"/>
    </row>
    <row r="148" spans="2:4" x14ac:dyDescent="0.25">
      <c r="B148" s="29"/>
      <c r="C148" s="29"/>
      <c r="D148" s="29"/>
    </row>
    <row r="149" spans="2:4" x14ac:dyDescent="0.25">
      <c r="B149" s="29"/>
      <c r="C149" s="29"/>
      <c r="D149" s="29"/>
    </row>
    <row r="150" spans="2:4" x14ac:dyDescent="0.25">
      <c r="B150" s="29"/>
      <c r="C150" s="29"/>
      <c r="D150" s="29"/>
    </row>
    <row r="151" spans="2:4" x14ac:dyDescent="0.25">
      <c r="B151" s="29"/>
      <c r="C151" s="29"/>
      <c r="D151" s="29"/>
    </row>
    <row r="152" spans="2:4" x14ac:dyDescent="0.25">
      <c r="B152" s="29"/>
      <c r="C152" s="29"/>
      <c r="D152" s="29"/>
    </row>
    <row r="153" spans="2:4" x14ac:dyDescent="0.25">
      <c r="B153" s="29"/>
      <c r="C153" s="29"/>
      <c r="D153" s="29"/>
    </row>
    <row r="154" spans="2:4" x14ac:dyDescent="0.25">
      <c r="B154" s="29"/>
      <c r="C154" s="29"/>
      <c r="D154" s="29"/>
    </row>
    <row r="155" spans="2:4" x14ac:dyDescent="0.25">
      <c r="B155" s="29"/>
      <c r="C155" s="29"/>
      <c r="D155" s="29"/>
    </row>
    <row r="156" spans="2:4" x14ac:dyDescent="0.25">
      <c r="B156" s="29"/>
      <c r="C156" s="29"/>
      <c r="D156" s="29"/>
    </row>
    <row r="157" spans="2:4" x14ac:dyDescent="0.25">
      <c r="B157" s="29"/>
      <c r="C157" s="29"/>
      <c r="D157" s="29"/>
    </row>
    <row r="158" spans="2:4" x14ac:dyDescent="0.25">
      <c r="B158" s="29"/>
      <c r="C158" s="29"/>
      <c r="D158" s="29"/>
    </row>
    <row r="159" spans="2:4" x14ac:dyDescent="0.25">
      <c r="B159" s="29"/>
      <c r="C159" s="29"/>
      <c r="D159" s="29"/>
    </row>
    <row r="160" spans="2:4" x14ac:dyDescent="0.25">
      <c r="B160" s="29"/>
      <c r="C160" s="29"/>
      <c r="D160" s="29"/>
    </row>
    <row r="161" spans="2:4" x14ac:dyDescent="0.25">
      <c r="B161" s="29"/>
      <c r="C161" s="29"/>
      <c r="D161" s="29"/>
    </row>
    <row r="162" spans="2:4" x14ac:dyDescent="0.25">
      <c r="B162" s="29"/>
      <c r="C162" s="29"/>
      <c r="D162" s="29"/>
    </row>
    <row r="163" spans="2:4" x14ac:dyDescent="0.25">
      <c r="B163" s="29"/>
      <c r="C163" s="29"/>
      <c r="D163" s="29"/>
    </row>
    <row r="164" spans="2:4" x14ac:dyDescent="0.25">
      <c r="B164" s="29"/>
      <c r="C164" s="29"/>
      <c r="D164" s="29"/>
    </row>
    <row r="165" spans="2:4" x14ac:dyDescent="0.25">
      <c r="B165" s="29"/>
      <c r="C165" s="29"/>
      <c r="D165" s="29"/>
    </row>
    <row r="166" spans="2:4" x14ac:dyDescent="0.25">
      <c r="B166" s="29"/>
      <c r="C166" s="29"/>
      <c r="D166" s="29"/>
    </row>
    <row r="167" spans="2:4" x14ac:dyDescent="0.25">
      <c r="B167" s="29"/>
      <c r="C167" s="29"/>
      <c r="D167" s="29"/>
    </row>
    <row r="168" spans="2:4" x14ac:dyDescent="0.25">
      <c r="B168" s="29"/>
      <c r="C168" s="29"/>
      <c r="D168" s="29"/>
    </row>
    <row r="169" spans="2:4" x14ac:dyDescent="0.25">
      <c r="B169" s="29"/>
      <c r="C169" s="29"/>
      <c r="D169" s="29"/>
    </row>
    <row r="170" spans="2:4" x14ac:dyDescent="0.25">
      <c r="B170" s="29"/>
      <c r="C170" s="29"/>
      <c r="D170" s="29"/>
    </row>
    <row r="171" spans="2:4" x14ac:dyDescent="0.25">
      <c r="B171" s="29"/>
      <c r="C171" s="29"/>
      <c r="D171" s="29"/>
    </row>
    <row r="172" spans="2:4" x14ac:dyDescent="0.25">
      <c r="B172" s="29"/>
      <c r="C172" s="29"/>
      <c r="D172" s="29"/>
    </row>
    <row r="173" spans="2:4" x14ac:dyDescent="0.25">
      <c r="B173" s="29"/>
      <c r="C173" s="29"/>
      <c r="D173" s="29"/>
    </row>
    <row r="174" spans="2:4" x14ac:dyDescent="0.25">
      <c r="B174" s="29"/>
      <c r="C174" s="29"/>
      <c r="D174" s="29"/>
    </row>
    <row r="175" spans="2:4" x14ac:dyDescent="0.25">
      <c r="B175" s="29"/>
      <c r="C175" s="29"/>
      <c r="D175" s="29"/>
    </row>
    <row r="176" spans="2:4" x14ac:dyDescent="0.25">
      <c r="B176" s="29"/>
      <c r="C176" s="29"/>
      <c r="D176" s="29"/>
    </row>
    <row r="177" spans="2:4" x14ac:dyDescent="0.25">
      <c r="B177" s="29"/>
      <c r="C177" s="29"/>
      <c r="D177" s="29"/>
    </row>
    <row r="178" spans="2:4" x14ac:dyDescent="0.25">
      <c r="B178" s="29"/>
      <c r="C178" s="29"/>
      <c r="D178" s="29"/>
    </row>
    <row r="179" spans="2:4" x14ac:dyDescent="0.25">
      <c r="B179" s="29"/>
      <c r="C179" s="29"/>
      <c r="D179" s="29"/>
    </row>
    <row r="180" spans="2:4" x14ac:dyDescent="0.25">
      <c r="B180" s="29"/>
      <c r="C180" s="29"/>
      <c r="D180" s="29"/>
    </row>
    <row r="181" spans="2:4" x14ac:dyDescent="0.25">
      <c r="B181" s="29"/>
      <c r="C181" s="29"/>
      <c r="D181" s="29"/>
    </row>
    <row r="182" spans="2:4" x14ac:dyDescent="0.25">
      <c r="B182" s="29"/>
      <c r="C182" s="29"/>
      <c r="D182" s="29"/>
    </row>
    <row r="183" spans="2:4" x14ac:dyDescent="0.25">
      <c r="B183" s="29"/>
      <c r="C183" s="29"/>
      <c r="D183" s="29"/>
    </row>
    <row r="184" spans="2:4" x14ac:dyDescent="0.25">
      <c r="B184" s="29"/>
      <c r="C184" s="29"/>
      <c r="D184" s="29"/>
    </row>
    <row r="185" spans="2:4" x14ac:dyDescent="0.25">
      <c r="B185" s="29"/>
      <c r="C185" s="29"/>
      <c r="D185" s="29"/>
    </row>
    <row r="186" spans="2:4" x14ac:dyDescent="0.25">
      <c r="B186" s="29"/>
      <c r="C186" s="29"/>
      <c r="D186" s="29"/>
    </row>
    <row r="187" spans="2:4" x14ac:dyDescent="0.25">
      <c r="B187" s="29"/>
      <c r="C187" s="29"/>
      <c r="D187" s="29"/>
    </row>
    <row r="188" spans="2:4" x14ac:dyDescent="0.25">
      <c r="B188" s="29"/>
      <c r="C188" s="29"/>
      <c r="D188" s="29"/>
    </row>
    <row r="189" spans="2:4" x14ac:dyDescent="0.25">
      <c r="B189" s="29"/>
      <c r="C189" s="29"/>
      <c r="D189" s="29"/>
    </row>
    <row r="190" spans="2:4" x14ac:dyDescent="0.25">
      <c r="B190" s="29"/>
      <c r="C190" s="29"/>
      <c r="D190" s="29"/>
    </row>
    <row r="191" spans="2:4" x14ac:dyDescent="0.25">
      <c r="B191" s="29"/>
      <c r="C191" s="29"/>
      <c r="D191" s="29"/>
    </row>
    <row r="192" spans="2:4" x14ac:dyDescent="0.25">
      <c r="B192" s="29"/>
      <c r="C192" s="29"/>
      <c r="D192" s="29"/>
    </row>
    <row r="193" spans="2:4" x14ac:dyDescent="0.25">
      <c r="B193" s="29"/>
      <c r="C193" s="29"/>
      <c r="D193" s="29"/>
    </row>
    <row r="194" spans="2:4" x14ac:dyDescent="0.25">
      <c r="B194" s="29"/>
      <c r="C194" s="29"/>
      <c r="D194" s="29"/>
    </row>
    <row r="195" spans="2:4" x14ac:dyDescent="0.25">
      <c r="B195" s="29"/>
      <c r="C195" s="29"/>
      <c r="D195" s="29"/>
    </row>
    <row r="196" spans="2:4" x14ac:dyDescent="0.25">
      <c r="B196" s="29"/>
      <c r="C196" s="29"/>
      <c r="D196" s="29"/>
    </row>
    <row r="197" spans="2:4" x14ac:dyDescent="0.25">
      <c r="B197" s="29"/>
      <c r="C197" s="29"/>
      <c r="D197" s="29"/>
    </row>
    <row r="198" spans="2:4" x14ac:dyDescent="0.25">
      <c r="B198" s="29"/>
      <c r="C198" s="29"/>
      <c r="D198" s="29"/>
    </row>
    <row r="199" spans="2:4" x14ac:dyDescent="0.25">
      <c r="B199" s="29"/>
      <c r="C199" s="29"/>
      <c r="D199" s="29"/>
    </row>
    <row r="200" spans="2:4" x14ac:dyDescent="0.25">
      <c r="B200" s="29"/>
      <c r="C200" s="29"/>
      <c r="D200" s="29"/>
    </row>
    <row r="201" spans="2:4" x14ac:dyDescent="0.25">
      <c r="B201" s="29"/>
      <c r="C201" s="29"/>
      <c r="D201" s="29"/>
    </row>
    <row r="202" spans="2:4" x14ac:dyDescent="0.25">
      <c r="B202" s="29"/>
      <c r="C202" s="29"/>
      <c r="D202" s="29"/>
    </row>
    <row r="203" spans="2:4" x14ac:dyDescent="0.25">
      <c r="B203" s="29"/>
      <c r="C203" s="29"/>
      <c r="D203" s="29"/>
    </row>
    <row r="204" spans="2:4" x14ac:dyDescent="0.25">
      <c r="B204" s="29"/>
      <c r="C204" s="29"/>
      <c r="D204" s="29"/>
    </row>
    <row r="205" spans="2:4" x14ac:dyDescent="0.25">
      <c r="B205" s="29"/>
      <c r="C205" s="29"/>
      <c r="D205" s="29"/>
    </row>
    <row r="206" spans="2:4" x14ac:dyDescent="0.25">
      <c r="B206" s="29"/>
      <c r="C206" s="29"/>
      <c r="D206" s="29"/>
    </row>
    <row r="207" spans="2:4" x14ac:dyDescent="0.25">
      <c r="B207" s="29"/>
      <c r="C207" s="29"/>
      <c r="D207" s="29"/>
    </row>
    <row r="208" spans="2:4" x14ac:dyDescent="0.25">
      <c r="B208" s="29"/>
      <c r="C208" s="29"/>
      <c r="D208" s="29"/>
    </row>
    <row r="209" spans="2:4" x14ac:dyDescent="0.25">
      <c r="B209" s="29"/>
      <c r="C209" s="29"/>
      <c r="D209" s="29"/>
    </row>
    <row r="210" spans="2:4" x14ac:dyDescent="0.25">
      <c r="B210" s="29"/>
      <c r="C210" s="29"/>
      <c r="D210" s="29"/>
    </row>
    <row r="211" spans="2:4" x14ac:dyDescent="0.25">
      <c r="B211" s="29"/>
      <c r="C211" s="29"/>
      <c r="D211" s="29"/>
    </row>
    <row r="212" spans="2:4" x14ac:dyDescent="0.25">
      <c r="B212" s="29"/>
      <c r="C212" s="29"/>
      <c r="D212" s="29"/>
    </row>
    <row r="213" spans="2:4" x14ac:dyDescent="0.25">
      <c r="B213" s="29"/>
      <c r="C213" s="29"/>
      <c r="D213" s="29"/>
    </row>
    <row r="214" spans="2:4" x14ac:dyDescent="0.25">
      <c r="B214" s="29"/>
      <c r="C214" s="29"/>
      <c r="D214" s="29"/>
    </row>
    <row r="215" spans="2:4" x14ac:dyDescent="0.25">
      <c r="B215" s="29"/>
      <c r="C215" s="29"/>
      <c r="D215" s="29"/>
    </row>
    <row r="216" spans="2:4" x14ac:dyDescent="0.25">
      <c r="B216" s="29"/>
      <c r="C216" s="29"/>
      <c r="D216" s="29"/>
    </row>
    <row r="217" spans="2:4" x14ac:dyDescent="0.25">
      <c r="B217" s="29"/>
      <c r="C217" s="29"/>
      <c r="D217" s="29"/>
    </row>
    <row r="218" spans="2:4" x14ac:dyDescent="0.25">
      <c r="B218" s="29"/>
      <c r="C218" s="29"/>
      <c r="D218" s="29"/>
    </row>
    <row r="219" spans="2:4" x14ac:dyDescent="0.25">
      <c r="B219" s="29"/>
      <c r="C219" s="29"/>
      <c r="D219" s="29"/>
    </row>
    <row r="220" spans="2:4" x14ac:dyDescent="0.25">
      <c r="B220" s="29"/>
      <c r="C220" s="29"/>
      <c r="D220" s="29"/>
    </row>
    <row r="221" spans="2:4" x14ac:dyDescent="0.25">
      <c r="B221" s="29"/>
      <c r="C221" s="29"/>
      <c r="D221" s="29"/>
    </row>
    <row r="222" spans="2:4" x14ac:dyDescent="0.25">
      <c r="B222" s="29"/>
      <c r="C222" s="29"/>
      <c r="D222" s="29"/>
    </row>
    <row r="223" spans="2:4" x14ac:dyDescent="0.25">
      <c r="B223" s="29"/>
      <c r="C223" s="29"/>
      <c r="D223" s="29"/>
    </row>
    <row r="224" spans="2:4" x14ac:dyDescent="0.25">
      <c r="B224" s="29"/>
      <c r="C224" s="29"/>
      <c r="D224" s="29"/>
    </row>
    <row r="225" spans="2:4" x14ac:dyDescent="0.25">
      <c r="B225" s="29"/>
      <c r="C225" s="29"/>
      <c r="D225" s="29"/>
    </row>
    <row r="226" spans="2:4" x14ac:dyDescent="0.25">
      <c r="B226" s="29"/>
      <c r="C226" s="29"/>
      <c r="D226" s="29"/>
    </row>
    <row r="227" spans="2:4" x14ac:dyDescent="0.25">
      <c r="B227" s="29"/>
      <c r="C227" s="29"/>
      <c r="D227" s="29"/>
    </row>
    <row r="228" spans="2:4" x14ac:dyDescent="0.25">
      <c r="B228" s="29"/>
      <c r="C228" s="29"/>
      <c r="D228" s="29"/>
    </row>
    <row r="229" spans="2:4" x14ac:dyDescent="0.25">
      <c r="B229" s="29"/>
      <c r="C229" s="29"/>
      <c r="D229" s="29"/>
    </row>
    <row r="230" spans="2:4" x14ac:dyDescent="0.25">
      <c r="B230" s="29"/>
      <c r="C230" s="29"/>
      <c r="D230" s="29"/>
    </row>
    <row r="231" spans="2:4" x14ac:dyDescent="0.25">
      <c r="B231" s="29"/>
      <c r="C231" s="29"/>
      <c r="D231" s="29"/>
    </row>
    <row r="232" spans="2:4" x14ac:dyDescent="0.25">
      <c r="B232" s="29"/>
      <c r="C232" s="29"/>
      <c r="D232" s="29"/>
    </row>
    <row r="233" spans="2:4" x14ac:dyDescent="0.25">
      <c r="B233" s="29"/>
      <c r="C233" s="29"/>
      <c r="D233" s="29"/>
    </row>
    <row r="234" spans="2:4" x14ac:dyDescent="0.25">
      <c r="B234" s="29"/>
      <c r="C234" s="29"/>
      <c r="D234" s="29"/>
    </row>
    <row r="235" spans="2:4" x14ac:dyDescent="0.25">
      <c r="B235" s="29"/>
      <c r="C235" s="29"/>
      <c r="D235" s="29"/>
    </row>
    <row r="236" spans="2:4" x14ac:dyDescent="0.25">
      <c r="B236" s="29"/>
      <c r="C236" s="29"/>
      <c r="D236" s="29"/>
    </row>
    <row r="237" spans="2:4" x14ac:dyDescent="0.25">
      <c r="B237" s="29"/>
      <c r="C237" s="29"/>
      <c r="D237" s="29"/>
    </row>
    <row r="238" spans="2:4" x14ac:dyDescent="0.25">
      <c r="B238" s="29"/>
      <c r="C238" s="29"/>
      <c r="D238" s="29"/>
    </row>
    <row r="239" spans="2:4" x14ac:dyDescent="0.25">
      <c r="B239" s="29"/>
      <c r="C239" s="29"/>
      <c r="D239" s="29"/>
    </row>
    <row r="240" spans="2:4" x14ac:dyDescent="0.25">
      <c r="B240" s="29"/>
      <c r="C240" s="29"/>
      <c r="D240" s="29"/>
    </row>
    <row r="241" spans="2:4" x14ac:dyDescent="0.25">
      <c r="B241" s="29"/>
      <c r="C241" s="29"/>
      <c r="D241" s="29"/>
    </row>
    <row r="242" spans="2:4" x14ac:dyDescent="0.25">
      <c r="B242" s="29"/>
      <c r="C242" s="29"/>
      <c r="D242" s="29"/>
    </row>
    <row r="243" spans="2:4" x14ac:dyDescent="0.25">
      <c r="B243" s="29"/>
      <c r="C243" s="29"/>
      <c r="D243" s="29"/>
    </row>
    <row r="244" spans="2:4" x14ac:dyDescent="0.25">
      <c r="B244" s="29"/>
      <c r="C244" s="29"/>
      <c r="D244" s="29"/>
    </row>
    <row r="245" spans="2:4" x14ac:dyDescent="0.25">
      <c r="B245" s="29"/>
      <c r="C245" s="29"/>
      <c r="D245" s="29"/>
    </row>
    <row r="246" spans="2:4" x14ac:dyDescent="0.25">
      <c r="B246" s="29"/>
      <c r="C246" s="29"/>
      <c r="D246" s="29"/>
    </row>
    <row r="247" spans="2:4" x14ac:dyDescent="0.25">
      <c r="B247" s="29"/>
      <c r="C247" s="29"/>
      <c r="D247" s="29"/>
    </row>
    <row r="248" spans="2:4" x14ac:dyDescent="0.25">
      <c r="B248" s="29"/>
      <c r="C248" s="29"/>
      <c r="D248" s="29"/>
    </row>
    <row r="249" spans="2:4" x14ac:dyDescent="0.25">
      <c r="B249" s="29"/>
      <c r="C249" s="29"/>
      <c r="D249" s="29"/>
    </row>
    <row r="250" spans="2:4" x14ac:dyDescent="0.25">
      <c r="B250" s="29"/>
      <c r="C250" s="29"/>
      <c r="D250" s="29"/>
    </row>
    <row r="251" spans="2:4" x14ac:dyDescent="0.25">
      <c r="B251" s="29"/>
      <c r="C251" s="29"/>
      <c r="D251" s="29"/>
    </row>
    <row r="252" spans="2:4" x14ac:dyDescent="0.25">
      <c r="B252" s="29"/>
      <c r="C252" s="29"/>
      <c r="D252" s="29"/>
    </row>
    <row r="253" spans="2:4" x14ac:dyDescent="0.25">
      <c r="B253" s="29"/>
      <c r="C253" s="29"/>
      <c r="D253" s="29"/>
    </row>
    <row r="254" spans="2:4" x14ac:dyDescent="0.25">
      <c r="B254" s="29"/>
      <c r="C254" s="29"/>
      <c r="D254" s="29"/>
    </row>
    <row r="255" spans="2:4" x14ac:dyDescent="0.25">
      <c r="B255" s="29"/>
      <c r="C255" s="29"/>
      <c r="D255" s="29"/>
    </row>
    <row r="256" spans="2:4" x14ac:dyDescent="0.25">
      <c r="B256" s="29"/>
      <c r="C256" s="29"/>
      <c r="D256" s="29"/>
    </row>
    <row r="257" spans="2:4" x14ac:dyDescent="0.25">
      <c r="B257" s="29"/>
      <c r="C257" s="29"/>
      <c r="D257" s="29"/>
    </row>
    <row r="258" spans="2:4" x14ac:dyDescent="0.25">
      <c r="B258" s="29"/>
      <c r="C258" s="29"/>
      <c r="D258" s="29"/>
    </row>
    <row r="259" spans="2:4" x14ac:dyDescent="0.25">
      <c r="B259" s="29"/>
      <c r="C259" s="29"/>
      <c r="D259" s="29"/>
    </row>
    <row r="260" spans="2:4" x14ac:dyDescent="0.25">
      <c r="B260" s="29"/>
      <c r="C260" s="29"/>
      <c r="D260" s="29"/>
    </row>
    <row r="261" spans="2:4" x14ac:dyDescent="0.25">
      <c r="B261" s="29"/>
      <c r="C261" s="29"/>
      <c r="D261" s="29"/>
    </row>
    <row r="262" spans="2:4" x14ac:dyDescent="0.25">
      <c r="B262" s="29"/>
      <c r="C262" s="29"/>
      <c r="D262" s="29"/>
    </row>
    <row r="263" spans="2:4" x14ac:dyDescent="0.25">
      <c r="B263" s="29"/>
      <c r="C263" s="29"/>
      <c r="D263" s="29"/>
    </row>
    <row r="264" spans="2:4" x14ac:dyDescent="0.25">
      <c r="B264" s="29"/>
      <c r="C264" s="29"/>
      <c r="D264" s="29"/>
    </row>
    <row r="265" spans="2:4" x14ac:dyDescent="0.25">
      <c r="B265" s="29"/>
      <c r="C265" s="29"/>
      <c r="D265" s="29"/>
    </row>
    <row r="266" spans="2:4" x14ac:dyDescent="0.25">
      <c r="B266" s="29"/>
      <c r="C266" s="29"/>
      <c r="D266" s="29"/>
    </row>
    <row r="267" spans="2:4" x14ac:dyDescent="0.25">
      <c r="B267" s="29"/>
      <c r="C267" s="29"/>
      <c r="D267" s="29"/>
    </row>
    <row r="268" spans="2:4" x14ac:dyDescent="0.25">
      <c r="B268" s="29"/>
      <c r="C268" s="29"/>
      <c r="D268" s="29"/>
    </row>
    <row r="269" spans="2:4" x14ac:dyDescent="0.25">
      <c r="B269" s="29"/>
      <c r="C269" s="29"/>
      <c r="D269" s="29"/>
    </row>
    <row r="270" spans="2:4" x14ac:dyDescent="0.25">
      <c r="B270" s="29"/>
      <c r="C270" s="29"/>
      <c r="D270" s="29"/>
    </row>
    <row r="271" spans="2:4" x14ac:dyDescent="0.25">
      <c r="B271" s="29"/>
      <c r="C271" s="29"/>
      <c r="D271" s="29"/>
    </row>
    <row r="272" spans="2:4" x14ac:dyDescent="0.25">
      <c r="B272" s="29"/>
      <c r="C272" s="29"/>
      <c r="D272" s="29"/>
    </row>
    <row r="273" spans="2:4" x14ac:dyDescent="0.25">
      <c r="B273" s="29"/>
      <c r="C273" s="29"/>
      <c r="D273" s="29"/>
    </row>
    <row r="274" spans="2:4" x14ac:dyDescent="0.25">
      <c r="B274" s="29"/>
      <c r="C274" s="29"/>
      <c r="D274" s="29"/>
    </row>
    <row r="275" spans="2:4" x14ac:dyDescent="0.25">
      <c r="B275" s="29"/>
      <c r="C275" s="29"/>
      <c r="D275" s="29"/>
    </row>
    <row r="276" spans="2:4" x14ac:dyDescent="0.25">
      <c r="B276" s="29"/>
      <c r="C276" s="29"/>
      <c r="D276" s="29"/>
    </row>
    <row r="277" spans="2:4" x14ac:dyDescent="0.25">
      <c r="B277" s="29"/>
      <c r="C277" s="29"/>
      <c r="D277" s="29"/>
    </row>
    <row r="278" spans="2:4" x14ac:dyDescent="0.25">
      <c r="B278" s="29"/>
      <c r="C278" s="29"/>
      <c r="D278" s="29"/>
    </row>
    <row r="279" spans="2:4" x14ac:dyDescent="0.25">
      <c r="B279" s="29"/>
      <c r="C279" s="29"/>
      <c r="D279" s="29"/>
    </row>
    <row r="280" spans="2:4" x14ac:dyDescent="0.25">
      <c r="B280" s="29"/>
      <c r="C280" s="29"/>
      <c r="D280" s="29"/>
    </row>
    <row r="281" spans="2:4" x14ac:dyDescent="0.25">
      <c r="B281" s="29"/>
      <c r="C281" s="29"/>
      <c r="D281" s="29"/>
    </row>
    <row r="282" spans="2:4" x14ac:dyDescent="0.25">
      <c r="B282" s="29"/>
      <c r="C282" s="29"/>
      <c r="D282" s="29"/>
    </row>
    <row r="283" spans="2:4" x14ac:dyDescent="0.25">
      <c r="B283" s="29"/>
      <c r="C283" s="29"/>
      <c r="D283" s="29"/>
    </row>
    <row r="284" spans="2:4" x14ac:dyDescent="0.25">
      <c r="B284" s="29"/>
      <c r="C284" s="29"/>
      <c r="D284" s="29"/>
    </row>
    <row r="285" spans="2:4" x14ac:dyDescent="0.25">
      <c r="B285" s="29"/>
      <c r="C285" s="29"/>
      <c r="D285" s="29"/>
    </row>
    <row r="286" spans="2:4" x14ac:dyDescent="0.25">
      <c r="B286" s="29"/>
      <c r="C286" s="29"/>
      <c r="D286" s="29"/>
    </row>
    <row r="287" spans="2:4" x14ac:dyDescent="0.25">
      <c r="B287" s="29"/>
      <c r="C287" s="29"/>
      <c r="D287" s="29"/>
    </row>
    <row r="288" spans="2:4" x14ac:dyDescent="0.25">
      <c r="B288" s="29"/>
      <c r="C288" s="29"/>
      <c r="D288" s="29"/>
    </row>
    <row r="289" spans="2:4" x14ac:dyDescent="0.25">
      <c r="B289" s="29"/>
      <c r="C289" s="29"/>
      <c r="D289" s="29"/>
    </row>
    <row r="290" spans="2:4" x14ac:dyDescent="0.25">
      <c r="B290" s="29"/>
      <c r="C290" s="29"/>
      <c r="D290" s="29"/>
    </row>
    <row r="291" spans="2:4" x14ac:dyDescent="0.25">
      <c r="B291" s="29"/>
      <c r="C291" s="29"/>
      <c r="D291" s="29"/>
    </row>
    <row r="292" spans="2:4" x14ac:dyDescent="0.25">
      <c r="B292" s="29"/>
      <c r="C292" s="29"/>
      <c r="D292" s="29"/>
    </row>
    <row r="293" spans="2:4" x14ac:dyDescent="0.25">
      <c r="B293" s="29"/>
      <c r="C293" s="29"/>
      <c r="D293" s="29"/>
    </row>
    <row r="294" spans="2:4" x14ac:dyDescent="0.25">
      <c r="B294" s="29"/>
      <c r="C294" s="29"/>
      <c r="D294" s="29"/>
    </row>
    <row r="295" spans="2:4" x14ac:dyDescent="0.25">
      <c r="B295" s="29"/>
      <c r="C295" s="29"/>
      <c r="D295" s="29"/>
    </row>
    <row r="296" spans="2:4" x14ac:dyDescent="0.25">
      <c r="B296" s="29"/>
      <c r="C296" s="29"/>
      <c r="D296" s="29"/>
    </row>
    <row r="297" spans="2:4" x14ac:dyDescent="0.25">
      <c r="B297" s="29"/>
      <c r="C297" s="29"/>
      <c r="D297" s="29"/>
    </row>
    <row r="298" spans="2:4" x14ac:dyDescent="0.25">
      <c r="B298" s="29"/>
      <c r="C298" s="29"/>
      <c r="D298" s="29"/>
    </row>
    <row r="299" spans="2:4" x14ac:dyDescent="0.25">
      <c r="B299" s="29"/>
      <c r="C299" s="29"/>
      <c r="D299" s="29"/>
    </row>
    <row r="300" spans="2:4" x14ac:dyDescent="0.25">
      <c r="B300" s="29"/>
      <c r="C300" s="29"/>
      <c r="D300" s="29"/>
    </row>
    <row r="301" spans="2:4" x14ac:dyDescent="0.25">
      <c r="B301" s="29"/>
      <c r="C301" s="29"/>
      <c r="D301" s="29"/>
    </row>
    <row r="302" spans="2:4" x14ac:dyDescent="0.25">
      <c r="B302" s="29"/>
      <c r="C302" s="29"/>
      <c r="D302" s="29"/>
    </row>
    <row r="303" spans="2:4" x14ac:dyDescent="0.25">
      <c r="B303" s="29"/>
      <c r="C303" s="29"/>
      <c r="D303" s="29"/>
    </row>
    <row r="304" spans="2:4" x14ac:dyDescent="0.25">
      <c r="B304" s="29"/>
      <c r="C304" s="29"/>
      <c r="D304" s="29"/>
    </row>
    <row r="305" spans="2:4" x14ac:dyDescent="0.25">
      <c r="B305" s="29"/>
      <c r="C305" s="29"/>
      <c r="D305" s="29"/>
    </row>
    <row r="306" spans="2:4" x14ac:dyDescent="0.25">
      <c r="B306" s="29"/>
      <c r="C306" s="29"/>
      <c r="D306" s="29"/>
    </row>
    <row r="307" spans="2:4" x14ac:dyDescent="0.25">
      <c r="B307" s="29"/>
      <c r="C307" s="29"/>
      <c r="D307" s="29"/>
    </row>
    <row r="308" spans="2:4" x14ac:dyDescent="0.25">
      <c r="B308" s="29"/>
      <c r="C308" s="29"/>
      <c r="D308" s="29"/>
    </row>
    <row r="309" spans="2:4" x14ac:dyDescent="0.25">
      <c r="B309" s="29"/>
      <c r="C309" s="29"/>
      <c r="D309" s="29"/>
    </row>
    <row r="310" spans="2:4" x14ac:dyDescent="0.25">
      <c r="B310" s="29"/>
      <c r="C310" s="29"/>
      <c r="D310" s="29"/>
    </row>
    <row r="311" spans="2:4" x14ac:dyDescent="0.25">
      <c r="B311" s="29"/>
      <c r="C311" s="29"/>
      <c r="D311" s="29"/>
    </row>
    <row r="312" spans="2:4" x14ac:dyDescent="0.25">
      <c r="B312" s="29"/>
      <c r="C312" s="29"/>
      <c r="D312" s="29"/>
    </row>
    <row r="313" spans="2:4" x14ac:dyDescent="0.25">
      <c r="B313" s="29"/>
      <c r="C313" s="29"/>
      <c r="D313" s="29"/>
    </row>
    <row r="314" spans="2:4" x14ac:dyDescent="0.25">
      <c r="B314" s="29"/>
      <c r="C314" s="29"/>
      <c r="D314" s="29"/>
    </row>
    <row r="315" spans="2:4" x14ac:dyDescent="0.25">
      <c r="B315" s="29"/>
      <c r="C315" s="29"/>
      <c r="D315" s="29"/>
    </row>
    <row r="316" spans="2:4" x14ac:dyDescent="0.25">
      <c r="B316" s="29"/>
      <c r="C316" s="29"/>
      <c r="D316" s="29"/>
    </row>
    <row r="317" spans="2:4" x14ac:dyDescent="0.25">
      <c r="B317" s="29"/>
      <c r="C317" s="29"/>
      <c r="D317" s="29"/>
    </row>
    <row r="318" spans="2:4" x14ac:dyDescent="0.25">
      <c r="B318" s="29"/>
      <c r="C318" s="29"/>
      <c r="D318" s="29"/>
    </row>
    <row r="319" spans="2:4" x14ac:dyDescent="0.25">
      <c r="B319" s="29"/>
      <c r="C319" s="29"/>
      <c r="D319" s="29"/>
    </row>
    <row r="320" spans="2:4" x14ac:dyDescent="0.25">
      <c r="B320" s="29"/>
      <c r="C320" s="29"/>
      <c r="D320" s="29"/>
    </row>
    <row r="321" spans="2:4" x14ac:dyDescent="0.25">
      <c r="B321" s="29"/>
      <c r="C321" s="29"/>
      <c r="D321" s="29"/>
    </row>
    <row r="322" spans="2:4" x14ac:dyDescent="0.25">
      <c r="B322" s="29"/>
      <c r="C322" s="29"/>
      <c r="D322" s="29"/>
    </row>
    <row r="323" spans="2:4" x14ac:dyDescent="0.25">
      <c r="B323" s="29"/>
      <c r="C323" s="29"/>
      <c r="D323" s="29"/>
    </row>
    <row r="324" spans="2:4" x14ac:dyDescent="0.25">
      <c r="B324" s="29"/>
      <c r="C324" s="29"/>
      <c r="D324" s="29"/>
    </row>
    <row r="325" spans="2:4" x14ac:dyDescent="0.25">
      <c r="B325" s="29"/>
      <c r="C325" s="29"/>
      <c r="D325" s="29"/>
    </row>
    <row r="326" spans="2:4" x14ac:dyDescent="0.25">
      <c r="B326" s="29"/>
      <c r="C326" s="29"/>
      <c r="D326" s="29"/>
    </row>
    <row r="327" spans="2:4" x14ac:dyDescent="0.25">
      <c r="B327" s="29"/>
      <c r="C327" s="29"/>
      <c r="D327" s="29"/>
    </row>
    <row r="328" spans="2:4" x14ac:dyDescent="0.25">
      <c r="B328" s="29"/>
      <c r="C328" s="29"/>
      <c r="D328" s="29"/>
    </row>
    <row r="329" spans="2:4" x14ac:dyDescent="0.25">
      <c r="B329" s="29"/>
      <c r="C329" s="29"/>
      <c r="D329" s="29"/>
    </row>
    <row r="330" spans="2:4" x14ac:dyDescent="0.25">
      <c r="B330" s="29"/>
      <c r="C330" s="29"/>
      <c r="D330" s="29"/>
    </row>
    <row r="331" spans="2:4" x14ac:dyDescent="0.25">
      <c r="B331" s="29"/>
      <c r="C331" s="29"/>
      <c r="D331" s="29"/>
    </row>
    <row r="332" spans="2:4" x14ac:dyDescent="0.25">
      <c r="B332" s="29"/>
      <c r="C332" s="29"/>
      <c r="D332" s="29"/>
    </row>
    <row r="333" spans="2:4" x14ac:dyDescent="0.25">
      <c r="B333" s="29"/>
      <c r="C333" s="29"/>
      <c r="D333" s="29"/>
    </row>
    <row r="334" spans="2:4" x14ac:dyDescent="0.25">
      <c r="B334" s="29"/>
      <c r="C334" s="29"/>
      <c r="D334" s="29"/>
    </row>
    <row r="335" spans="2:4" x14ac:dyDescent="0.25">
      <c r="B335" s="29"/>
      <c r="C335" s="29"/>
      <c r="D335" s="29"/>
    </row>
    <row r="336" spans="2:4" x14ac:dyDescent="0.25">
      <c r="B336" s="29"/>
      <c r="C336" s="29"/>
      <c r="D336" s="29"/>
    </row>
    <row r="337" spans="2:4" x14ac:dyDescent="0.25">
      <c r="B337" s="29"/>
      <c r="C337" s="29"/>
      <c r="D337" s="29"/>
    </row>
    <row r="338" spans="2:4" x14ac:dyDescent="0.25">
      <c r="B338" s="29"/>
      <c r="C338" s="29"/>
      <c r="D338" s="29"/>
    </row>
    <row r="339" spans="2:4" x14ac:dyDescent="0.25">
      <c r="B339" s="29"/>
      <c r="C339" s="29"/>
      <c r="D339" s="29"/>
    </row>
    <row r="340" spans="2:4" x14ac:dyDescent="0.25">
      <c r="B340" s="29"/>
      <c r="C340" s="29"/>
      <c r="D340" s="29"/>
    </row>
    <row r="341" spans="2:4" x14ac:dyDescent="0.25">
      <c r="B341" s="29"/>
      <c r="C341" s="29"/>
      <c r="D341" s="29"/>
    </row>
    <row r="342" spans="2:4" x14ac:dyDescent="0.25">
      <c r="B342" s="29"/>
      <c r="C342" s="29"/>
      <c r="D342" s="29"/>
    </row>
    <row r="343" spans="2:4" x14ac:dyDescent="0.25">
      <c r="B343" s="29"/>
      <c r="C343" s="29"/>
      <c r="D343" s="29"/>
    </row>
    <row r="344" spans="2:4" x14ac:dyDescent="0.25">
      <c r="B344" s="29"/>
      <c r="C344" s="29"/>
      <c r="D344" s="29"/>
    </row>
    <row r="345" spans="2:4" x14ac:dyDescent="0.25">
      <c r="B345" s="29"/>
      <c r="C345" s="29"/>
      <c r="D345" s="29"/>
    </row>
    <row r="346" spans="2:4" x14ac:dyDescent="0.25">
      <c r="B346" s="29"/>
      <c r="C346" s="29"/>
      <c r="D346" s="29"/>
    </row>
    <row r="347" spans="2:4" x14ac:dyDescent="0.25">
      <c r="B347" s="29"/>
      <c r="C347" s="29"/>
      <c r="D347" s="29"/>
    </row>
    <row r="348" spans="2:4" x14ac:dyDescent="0.25">
      <c r="B348" s="29"/>
      <c r="C348" s="29"/>
      <c r="D348" s="29"/>
    </row>
    <row r="349" spans="2:4" x14ac:dyDescent="0.25">
      <c r="B349" s="29"/>
      <c r="C349" s="29"/>
      <c r="D349" s="29"/>
    </row>
    <row r="350" spans="2:4" x14ac:dyDescent="0.25">
      <c r="B350" s="29"/>
      <c r="C350" s="29"/>
      <c r="D350" s="29"/>
    </row>
    <row r="351" spans="2:4" x14ac:dyDescent="0.25">
      <c r="B351" s="29"/>
      <c r="C351" s="29"/>
      <c r="D351" s="29"/>
    </row>
    <row r="352" spans="2:4" x14ac:dyDescent="0.25">
      <c r="B352" s="29"/>
      <c r="C352" s="29"/>
      <c r="D352" s="29"/>
    </row>
    <row r="353" spans="2:4" x14ac:dyDescent="0.25">
      <c r="B353" s="29"/>
      <c r="C353" s="29"/>
      <c r="D353" s="29"/>
    </row>
    <row r="354" spans="2:4" x14ac:dyDescent="0.25">
      <c r="B354" s="29"/>
      <c r="C354" s="29"/>
      <c r="D354" s="29"/>
    </row>
    <row r="355" spans="2:4" x14ac:dyDescent="0.25">
      <c r="B355" s="29"/>
      <c r="C355" s="29"/>
      <c r="D355" s="29"/>
    </row>
    <row r="356" spans="2:4" x14ac:dyDescent="0.25">
      <c r="B356" s="29"/>
      <c r="C356" s="29"/>
      <c r="D356" s="29"/>
    </row>
    <row r="357" spans="2:4" x14ac:dyDescent="0.25">
      <c r="B357" s="29"/>
      <c r="C357" s="29"/>
      <c r="D357" s="29"/>
    </row>
    <row r="358" spans="2:4" x14ac:dyDescent="0.25">
      <c r="B358" s="29"/>
      <c r="C358" s="29"/>
      <c r="D358" s="29"/>
    </row>
    <row r="359" spans="2:4" x14ac:dyDescent="0.25">
      <c r="B359" s="29"/>
      <c r="C359" s="29"/>
      <c r="D359" s="29"/>
    </row>
    <row r="360" spans="2:4" x14ac:dyDescent="0.25">
      <c r="B360" s="29"/>
      <c r="C360" s="29"/>
      <c r="D360" s="29"/>
    </row>
    <row r="361" spans="2:4" x14ac:dyDescent="0.25">
      <c r="B361" s="29"/>
      <c r="C361" s="29"/>
      <c r="D361" s="29"/>
    </row>
    <row r="362" spans="2:4" x14ac:dyDescent="0.25">
      <c r="B362" s="29"/>
      <c r="C362" s="29"/>
      <c r="D362" s="29"/>
    </row>
    <row r="363" spans="2:4" x14ac:dyDescent="0.25">
      <c r="B363" s="29"/>
      <c r="C363" s="29"/>
      <c r="D363" s="29"/>
    </row>
    <row r="364" spans="2:4" x14ac:dyDescent="0.25">
      <c r="B364" s="29"/>
      <c r="C364" s="29"/>
      <c r="D364" s="29"/>
    </row>
    <row r="365" spans="2:4" x14ac:dyDescent="0.25">
      <c r="B365" s="29"/>
      <c r="C365" s="29"/>
      <c r="D365" s="29"/>
    </row>
    <row r="366" spans="2:4" x14ac:dyDescent="0.25">
      <c r="B366" s="29"/>
      <c r="C366" s="29"/>
      <c r="D366" s="29"/>
    </row>
    <row r="367" spans="2:4" x14ac:dyDescent="0.25">
      <c r="B367" s="29"/>
      <c r="C367" s="29"/>
      <c r="D367" s="29"/>
    </row>
    <row r="368" spans="2:4" x14ac:dyDescent="0.25">
      <c r="B368" s="29"/>
      <c r="C368" s="29"/>
      <c r="D368" s="29"/>
    </row>
    <row r="369" spans="2:4" x14ac:dyDescent="0.25">
      <c r="B369" s="29"/>
      <c r="C369" s="29"/>
      <c r="D369" s="29"/>
    </row>
    <row r="370" spans="2:4" x14ac:dyDescent="0.25">
      <c r="B370" s="29"/>
      <c r="C370" s="29"/>
      <c r="D370" s="29"/>
    </row>
    <row r="371" spans="2:4" x14ac:dyDescent="0.25">
      <c r="B371" s="29"/>
      <c r="C371" s="29"/>
      <c r="D371" s="29"/>
    </row>
    <row r="372" spans="2:4" x14ac:dyDescent="0.25">
      <c r="B372" s="29"/>
      <c r="C372" s="29"/>
      <c r="D372" s="29"/>
    </row>
    <row r="373" spans="2:4" x14ac:dyDescent="0.25">
      <c r="B373" s="29"/>
      <c r="C373" s="29"/>
      <c r="D373" s="29"/>
    </row>
    <row r="374" spans="2:4" x14ac:dyDescent="0.25">
      <c r="B374" s="29"/>
      <c r="C374" s="29"/>
      <c r="D374" s="29"/>
    </row>
    <row r="375" spans="2:4" x14ac:dyDescent="0.25">
      <c r="B375" s="29"/>
      <c r="C375" s="29"/>
      <c r="D375" s="29"/>
    </row>
    <row r="376" spans="2:4" x14ac:dyDescent="0.25">
      <c r="B376" s="29"/>
      <c r="C376" s="29"/>
      <c r="D376" s="29"/>
    </row>
    <row r="377" spans="2:4" x14ac:dyDescent="0.25">
      <c r="B377" s="29"/>
      <c r="C377" s="29"/>
      <c r="D377" s="29"/>
    </row>
    <row r="378" spans="2:4" x14ac:dyDescent="0.25">
      <c r="B378" s="29"/>
      <c r="C378" s="29"/>
      <c r="D378" s="29"/>
    </row>
    <row r="379" spans="2:4" x14ac:dyDescent="0.25">
      <c r="B379" s="29"/>
      <c r="C379" s="29"/>
      <c r="D379" s="29"/>
    </row>
    <row r="380" spans="2:4" x14ac:dyDescent="0.25">
      <c r="B380" s="29"/>
      <c r="C380" s="29"/>
      <c r="D380" s="29"/>
    </row>
    <row r="381" spans="2:4" x14ac:dyDescent="0.25">
      <c r="B381" s="29"/>
      <c r="C381" s="29"/>
      <c r="D381" s="29"/>
    </row>
    <row r="382" spans="2:4" x14ac:dyDescent="0.25">
      <c r="B382" s="29"/>
      <c r="C382" s="29"/>
      <c r="D382" s="29"/>
    </row>
    <row r="383" spans="2:4" x14ac:dyDescent="0.25">
      <c r="B383" s="29"/>
      <c r="C383" s="29"/>
      <c r="D383" s="29"/>
    </row>
    <row r="384" spans="2:4" x14ac:dyDescent="0.25">
      <c r="B384" s="29"/>
      <c r="C384" s="29"/>
      <c r="D384" s="29"/>
    </row>
    <row r="385" spans="2:4" x14ac:dyDescent="0.25">
      <c r="B385" s="29"/>
      <c r="C385" s="29"/>
      <c r="D385" s="29"/>
    </row>
    <row r="386" spans="2:4" x14ac:dyDescent="0.25">
      <c r="B386" s="29"/>
      <c r="C386" s="29"/>
      <c r="D386" s="29"/>
    </row>
    <row r="387" spans="2:4" x14ac:dyDescent="0.25">
      <c r="B387" s="29"/>
      <c r="C387" s="29"/>
      <c r="D387" s="29"/>
    </row>
    <row r="388" spans="2:4" x14ac:dyDescent="0.25">
      <c r="B388" s="29"/>
      <c r="C388" s="29"/>
      <c r="D388" s="29"/>
    </row>
    <row r="389" spans="2:4" x14ac:dyDescent="0.25">
      <c r="B389" s="29"/>
      <c r="C389" s="29"/>
      <c r="D389" s="29"/>
    </row>
    <row r="390" spans="2:4" x14ac:dyDescent="0.25">
      <c r="B390" s="29"/>
      <c r="C390" s="29"/>
      <c r="D390" s="29"/>
    </row>
    <row r="391" spans="2:4" x14ac:dyDescent="0.25">
      <c r="B391" s="29"/>
      <c r="C391" s="29"/>
      <c r="D391" s="29"/>
    </row>
    <row r="392" spans="2:4" x14ac:dyDescent="0.25">
      <c r="B392" s="29"/>
      <c r="C392" s="29"/>
      <c r="D392" s="29"/>
    </row>
    <row r="393" spans="2:4" x14ac:dyDescent="0.25">
      <c r="B393" s="29"/>
      <c r="C393" s="29"/>
      <c r="D393" s="29"/>
    </row>
    <row r="394" spans="2:4" x14ac:dyDescent="0.25">
      <c r="B394" s="29"/>
      <c r="C394" s="29"/>
      <c r="D394" s="29"/>
    </row>
    <row r="395" spans="2:4" x14ac:dyDescent="0.25">
      <c r="B395" s="29"/>
      <c r="C395" s="29"/>
      <c r="D395" s="29"/>
    </row>
    <row r="396" spans="2:4" x14ac:dyDescent="0.25">
      <c r="B396" s="29"/>
      <c r="C396" s="29"/>
      <c r="D396" s="29"/>
    </row>
    <row r="397" spans="2:4" x14ac:dyDescent="0.25">
      <c r="B397" s="29"/>
      <c r="C397" s="29"/>
      <c r="D397" s="29"/>
    </row>
    <row r="398" spans="2:4" x14ac:dyDescent="0.25">
      <c r="B398" s="29"/>
      <c r="C398" s="29"/>
      <c r="D398" s="29"/>
    </row>
    <row r="399" spans="2:4" x14ac:dyDescent="0.25">
      <c r="B399" s="29"/>
      <c r="C399" s="29"/>
      <c r="D399" s="29"/>
    </row>
    <row r="400" spans="2:4" x14ac:dyDescent="0.25">
      <c r="B400" s="29"/>
      <c r="C400" s="29"/>
      <c r="D400" s="29"/>
    </row>
    <row r="401" spans="2:4" x14ac:dyDescent="0.25">
      <c r="B401" s="29"/>
      <c r="C401" s="29"/>
      <c r="D401" s="29"/>
    </row>
    <row r="402" spans="2:4" x14ac:dyDescent="0.25">
      <c r="B402" s="29"/>
      <c r="C402" s="29"/>
      <c r="D402" s="29"/>
    </row>
    <row r="403" spans="2:4" x14ac:dyDescent="0.25">
      <c r="B403" s="29"/>
      <c r="C403" s="29"/>
      <c r="D403" s="29"/>
    </row>
    <row r="404" spans="2:4" x14ac:dyDescent="0.25">
      <c r="B404" s="29"/>
      <c r="C404" s="29"/>
      <c r="D404" s="29"/>
    </row>
    <row r="405" spans="2:4" x14ac:dyDescent="0.25">
      <c r="B405" s="29"/>
      <c r="C405" s="29"/>
      <c r="D405" s="29"/>
    </row>
    <row r="406" spans="2:4" x14ac:dyDescent="0.25">
      <c r="B406" s="29"/>
      <c r="C406" s="29"/>
      <c r="D406" s="29"/>
    </row>
    <row r="407" spans="2:4" x14ac:dyDescent="0.25">
      <c r="B407" s="29"/>
      <c r="C407" s="29"/>
      <c r="D407" s="29"/>
    </row>
    <row r="408" spans="2:4" x14ac:dyDescent="0.25">
      <c r="B408" s="29"/>
      <c r="C408" s="29"/>
      <c r="D408" s="29"/>
    </row>
    <row r="409" spans="2:4" x14ac:dyDescent="0.25">
      <c r="B409" s="29"/>
      <c r="C409" s="29"/>
      <c r="D409" s="29"/>
    </row>
    <row r="410" spans="2:4" x14ac:dyDescent="0.25">
      <c r="B410" s="29"/>
      <c r="C410" s="29"/>
      <c r="D410" s="29"/>
    </row>
    <row r="411" spans="2:4" x14ac:dyDescent="0.25">
      <c r="B411" s="29"/>
      <c r="C411" s="29"/>
      <c r="D411" s="29"/>
    </row>
    <row r="412" spans="2:4" x14ac:dyDescent="0.25">
      <c r="B412" s="29"/>
      <c r="C412" s="29"/>
      <c r="D412" s="29"/>
    </row>
    <row r="413" spans="2:4" x14ac:dyDescent="0.25">
      <c r="B413" s="29"/>
      <c r="C413" s="29"/>
      <c r="D413" s="29"/>
    </row>
    <row r="414" spans="2:4" x14ac:dyDescent="0.25">
      <c r="B414" s="29"/>
      <c r="C414" s="29"/>
      <c r="D414" s="29"/>
    </row>
    <row r="415" spans="2:4" x14ac:dyDescent="0.25">
      <c r="B415" s="29"/>
      <c r="C415" s="29"/>
      <c r="D415" s="29"/>
    </row>
    <row r="416" spans="2:4" x14ac:dyDescent="0.25">
      <c r="B416" s="29"/>
      <c r="C416" s="29"/>
      <c r="D416" s="29"/>
    </row>
    <row r="417" spans="2:4" x14ac:dyDescent="0.25">
      <c r="B417" s="29"/>
      <c r="C417" s="29"/>
      <c r="D417" s="29"/>
    </row>
    <row r="418" spans="2:4" x14ac:dyDescent="0.25">
      <c r="B418" s="29"/>
      <c r="C418" s="29"/>
      <c r="D418" s="29"/>
    </row>
    <row r="419" spans="2:4" x14ac:dyDescent="0.25">
      <c r="B419" s="29"/>
      <c r="C419" s="29"/>
      <c r="D419" s="29"/>
    </row>
    <row r="420" spans="2:4" x14ac:dyDescent="0.25">
      <c r="B420" s="29"/>
      <c r="C420" s="29"/>
      <c r="D420" s="29"/>
    </row>
    <row r="421" spans="2:4" x14ac:dyDescent="0.25">
      <c r="B421" s="29"/>
      <c r="C421" s="29"/>
      <c r="D421" s="29"/>
    </row>
    <row r="422" spans="2:4" x14ac:dyDescent="0.25">
      <c r="B422" s="29"/>
      <c r="C422" s="29"/>
      <c r="D422" s="29"/>
    </row>
    <row r="423" spans="2:4" x14ac:dyDescent="0.25">
      <c r="B423" s="29"/>
      <c r="C423" s="29"/>
      <c r="D423" s="29"/>
    </row>
    <row r="424" spans="2:4" x14ac:dyDescent="0.25">
      <c r="B424" s="29"/>
      <c r="C424" s="29"/>
      <c r="D424" s="29"/>
    </row>
    <row r="425" spans="2:4" x14ac:dyDescent="0.25">
      <c r="B425" s="29"/>
      <c r="C425" s="29"/>
      <c r="D425" s="29"/>
    </row>
    <row r="426" spans="2:4" x14ac:dyDescent="0.25">
      <c r="B426" s="29"/>
      <c r="C426" s="29"/>
      <c r="D426" s="29"/>
    </row>
    <row r="427" spans="2:4" x14ac:dyDescent="0.25">
      <c r="B427" s="29"/>
      <c r="C427" s="29"/>
      <c r="D427" s="29"/>
    </row>
    <row r="428" spans="2:4" x14ac:dyDescent="0.25">
      <c r="B428" s="29"/>
      <c r="C428" s="29"/>
      <c r="D428" s="29"/>
    </row>
    <row r="429" spans="2:4" x14ac:dyDescent="0.25">
      <c r="B429" s="29"/>
      <c r="C429" s="29"/>
      <c r="D429" s="29"/>
    </row>
    <row r="430" spans="2:4" x14ac:dyDescent="0.25">
      <c r="B430" s="29"/>
      <c r="C430" s="29"/>
      <c r="D430" s="29"/>
    </row>
    <row r="431" spans="2:4" x14ac:dyDescent="0.25">
      <c r="B431" s="29"/>
      <c r="C431" s="29"/>
      <c r="D431" s="29"/>
    </row>
    <row r="432" spans="2:4" x14ac:dyDescent="0.25">
      <c r="B432" s="29"/>
      <c r="C432" s="29"/>
      <c r="D432" s="29"/>
    </row>
    <row r="433" spans="2:4" x14ac:dyDescent="0.25">
      <c r="B433" s="29"/>
      <c r="C433" s="29"/>
      <c r="D433" s="29"/>
    </row>
    <row r="434" spans="2:4" x14ac:dyDescent="0.25">
      <c r="B434" s="29"/>
      <c r="C434" s="29"/>
      <c r="D434" s="29"/>
    </row>
    <row r="435" spans="2:4" x14ac:dyDescent="0.25">
      <c r="B435" s="29"/>
      <c r="C435" s="29"/>
      <c r="D435" s="29"/>
    </row>
    <row r="436" spans="2:4" x14ac:dyDescent="0.25">
      <c r="B436" s="29"/>
      <c r="C436" s="29"/>
      <c r="D436" s="29"/>
    </row>
    <row r="437" spans="2:4" x14ac:dyDescent="0.25">
      <c r="B437" s="29"/>
      <c r="C437" s="29"/>
      <c r="D437" s="29"/>
    </row>
    <row r="438" spans="2:4" x14ac:dyDescent="0.25">
      <c r="B438" s="29"/>
      <c r="C438" s="29"/>
      <c r="D438" s="29"/>
    </row>
    <row r="439" spans="2:4" x14ac:dyDescent="0.25">
      <c r="B439" s="29"/>
      <c r="C439" s="29"/>
      <c r="D439" s="29"/>
    </row>
    <row r="440" spans="2:4" x14ac:dyDescent="0.25">
      <c r="B440" s="29"/>
      <c r="C440" s="29"/>
      <c r="D440" s="29"/>
    </row>
    <row r="441" spans="2:4" x14ac:dyDescent="0.25">
      <c r="B441" s="29"/>
      <c r="C441" s="29"/>
      <c r="D441" s="29"/>
    </row>
    <row r="442" spans="2:4" x14ac:dyDescent="0.25">
      <c r="B442" s="29"/>
      <c r="C442" s="29"/>
      <c r="D442" s="29"/>
    </row>
    <row r="443" spans="2:4" x14ac:dyDescent="0.25">
      <c r="B443" s="29"/>
      <c r="C443" s="29"/>
      <c r="D443" s="29"/>
    </row>
    <row r="444" spans="2:4" x14ac:dyDescent="0.25">
      <c r="B444" s="29"/>
      <c r="C444" s="29"/>
      <c r="D444" s="29"/>
    </row>
    <row r="445" spans="2:4" x14ac:dyDescent="0.25">
      <c r="B445" s="29"/>
      <c r="C445" s="29"/>
      <c r="D445" s="29"/>
    </row>
    <row r="446" spans="2:4" x14ac:dyDescent="0.25">
      <c r="B446" s="29"/>
      <c r="C446" s="29"/>
      <c r="D446" s="29"/>
    </row>
    <row r="447" spans="2:4" x14ac:dyDescent="0.25">
      <c r="B447" s="29"/>
      <c r="C447" s="29"/>
      <c r="D447" s="29"/>
    </row>
    <row r="448" spans="2:4" x14ac:dyDescent="0.25">
      <c r="B448" s="29"/>
      <c r="C448" s="29"/>
      <c r="D448" s="29"/>
    </row>
    <row r="449" spans="2:4" x14ac:dyDescent="0.25">
      <c r="B449" s="29"/>
      <c r="C449" s="29"/>
      <c r="D449" s="29"/>
    </row>
    <row r="450" spans="2:4" x14ac:dyDescent="0.25">
      <c r="B450" s="29"/>
      <c r="C450" s="29"/>
      <c r="D450" s="29"/>
    </row>
    <row r="451" spans="2:4" x14ac:dyDescent="0.25">
      <c r="B451" s="29"/>
      <c r="C451" s="29"/>
      <c r="D451" s="29"/>
    </row>
    <row r="452" spans="2:4" x14ac:dyDescent="0.25">
      <c r="B452" s="29"/>
      <c r="C452" s="29"/>
      <c r="D452" s="29"/>
    </row>
    <row r="453" spans="2:4" x14ac:dyDescent="0.25">
      <c r="B453" s="29"/>
      <c r="C453" s="29"/>
      <c r="D453" s="29"/>
    </row>
    <row r="454" spans="2:4" x14ac:dyDescent="0.25">
      <c r="B454" s="29"/>
      <c r="C454" s="29"/>
      <c r="D454" s="29"/>
    </row>
    <row r="455" spans="2:4" x14ac:dyDescent="0.25">
      <c r="B455" s="29"/>
      <c r="C455" s="29"/>
      <c r="D455" s="29"/>
    </row>
    <row r="456" spans="2:4" x14ac:dyDescent="0.25">
      <c r="B456" s="29"/>
      <c r="C456" s="29"/>
      <c r="D456" s="29"/>
    </row>
    <row r="457" spans="2:4" x14ac:dyDescent="0.25">
      <c r="B457" s="29"/>
      <c r="C457" s="29"/>
      <c r="D457" s="29"/>
    </row>
    <row r="458" spans="2:4" x14ac:dyDescent="0.25">
      <c r="B458" s="29"/>
      <c r="C458" s="29"/>
      <c r="D458" s="29"/>
    </row>
    <row r="459" spans="2:4" x14ac:dyDescent="0.25">
      <c r="B459" s="29"/>
      <c r="C459" s="29"/>
      <c r="D459" s="29"/>
    </row>
    <row r="460" spans="2:4" x14ac:dyDescent="0.25">
      <c r="B460" s="29"/>
      <c r="C460" s="29"/>
      <c r="D460" s="29"/>
    </row>
    <row r="461" spans="2:4" x14ac:dyDescent="0.25">
      <c r="B461" s="29"/>
      <c r="C461" s="29"/>
      <c r="D461" s="29"/>
    </row>
    <row r="462" spans="2:4" x14ac:dyDescent="0.25">
      <c r="B462" s="29"/>
      <c r="C462" s="29"/>
      <c r="D462" s="29"/>
    </row>
    <row r="463" spans="2:4" x14ac:dyDescent="0.25">
      <c r="B463" s="29"/>
      <c r="C463" s="29"/>
      <c r="D463" s="29"/>
    </row>
    <row r="464" spans="2:4" x14ac:dyDescent="0.25">
      <c r="B464" s="29"/>
      <c r="C464" s="29"/>
      <c r="D464" s="29"/>
    </row>
    <row r="465" spans="2:4" x14ac:dyDescent="0.25">
      <c r="B465" s="29"/>
      <c r="C465" s="29"/>
      <c r="D465" s="29"/>
    </row>
    <row r="466" spans="2:4" x14ac:dyDescent="0.25">
      <c r="B466" s="29"/>
      <c r="C466" s="29"/>
      <c r="D466" s="29"/>
    </row>
    <row r="467" spans="2:4" x14ac:dyDescent="0.25">
      <c r="B467" s="29"/>
      <c r="C467" s="29"/>
      <c r="D467" s="29"/>
    </row>
    <row r="468" spans="2:4" x14ac:dyDescent="0.25">
      <c r="B468" s="29"/>
      <c r="C468" s="29"/>
      <c r="D468" s="29"/>
    </row>
    <row r="469" spans="2:4" x14ac:dyDescent="0.25">
      <c r="B469" s="29"/>
      <c r="C469" s="29"/>
      <c r="D469" s="29"/>
    </row>
    <row r="470" spans="2:4" x14ac:dyDescent="0.25">
      <c r="B470" s="29"/>
      <c r="C470" s="29"/>
      <c r="D470" s="29"/>
    </row>
    <row r="471" spans="2:4" x14ac:dyDescent="0.25">
      <c r="B471" s="29"/>
      <c r="C471" s="29"/>
      <c r="D471" s="29"/>
    </row>
    <row r="472" spans="2:4" x14ac:dyDescent="0.25">
      <c r="B472" s="29"/>
      <c r="C472" s="29"/>
      <c r="D472" s="29"/>
    </row>
    <row r="473" spans="2:4" x14ac:dyDescent="0.25">
      <c r="B473" s="29"/>
      <c r="C473" s="29"/>
      <c r="D473" s="29"/>
    </row>
    <row r="474" spans="2:4" x14ac:dyDescent="0.25">
      <c r="B474" s="29"/>
      <c r="C474" s="29"/>
      <c r="D474" s="29"/>
    </row>
    <row r="475" spans="2:4" x14ac:dyDescent="0.25">
      <c r="B475" s="29"/>
      <c r="C475" s="29"/>
      <c r="D475" s="29"/>
    </row>
    <row r="476" spans="2:4" x14ac:dyDescent="0.25">
      <c r="B476" s="29"/>
      <c r="C476" s="29"/>
      <c r="D476" s="29"/>
    </row>
    <row r="477" spans="2:4" x14ac:dyDescent="0.25">
      <c r="B477" s="29"/>
      <c r="C477" s="29"/>
      <c r="D477" s="29"/>
    </row>
    <row r="478" spans="2:4" x14ac:dyDescent="0.25">
      <c r="B478" s="29"/>
      <c r="C478" s="29"/>
      <c r="D478" s="29"/>
    </row>
    <row r="479" spans="2:4" x14ac:dyDescent="0.25">
      <c r="B479" s="29"/>
      <c r="C479" s="29"/>
      <c r="D479" s="29"/>
    </row>
    <row r="480" spans="2:4" x14ac:dyDescent="0.25">
      <c r="B480" s="29"/>
      <c r="C480" s="29"/>
      <c r="D480" s="29"/>
    </row>
    <row r="481" spans="2:4" x14ac:dyDescent="0.25">
      <c r="B481" s="29"/>
      <c r="C481" s="29"/>
      <c r="D481" s="29"/>
    </row>
    <row r="482" spans="2:4" x14ac:dyDescent="0.25">
      <c r="B482" s="29"/>
      <c r="C482" s="29"/>
      <c r="D482" s="29"/>
    </row>
    <row r="483" spans="2:4" x14ac:dyDescent="0.25">
      <c r="B483" s="29"/>
      <c r="C483" s="29"/>
      <c r="D483" s="29"/>
    </row>
    <row r="484" spans="2:4" x14ac:dyDescent="0.25">
      <c r="B484" s="29"/>
      <c r="C484" s="29"/>
      <c r="D484" s="29"/>
    </row>
    <row r="485" spans="2:4" x14ac:dyDescent="0.25">
      <c r="B485" s="29"/>
      <c r="C485" s="29"/>
      <c r="D485" s="29"/>
    </row>
    <row r="486" spans="2:4" x14ac:dyDescent="0.25">
      <c r="B486" s="29"/>
      <c r="C486" s="29"/>
      <c r="D486" s="29"/>
    </row>
    <row r="487" spans="2:4" x14ac:dyDescent="0.25">
      <c r="B487" s="29"/>
      <c r="C487" s="29"/>
      <c r="D487" s="29"/>
    </row>
    <row r="488" spans="2:4" x14ac:dyDescent="0.25">
      <c r="B488" s="29"/>
      <c r="C488" s="29"/>
      <c r="D488" s="29"/>
    </row>
    <row r="489" spans="2:4" x14ac:dyDescent="0.25">
      <c r="B489" s="29"/>
      <c r="C489" s="29"/>
      <c r="D489" s="29"/>
    </row>
    <row r="490" spans="2:4" x14ac:dyDescent="0.25">
      <c r="B490" s="29"/>
      <c r="C490" s="29"/>
      <c r="D490" s="29"/>
    </row>
    <row r="491" spans="2:4" x14ac:dyDescent="0.25">
      <c r="B491" s="29"/>
      <c r="C491" s="29"/>
      <c r="D491" s="29"/>
    </row>
    <row r="492" spans="2:4" x14ac:dyDescent="0.25">
      <c r="B492" s="29"/>
      <c r="C492" s="29"/>
      <c r="D492" s="29"/>
    </row>
    <row r="493" spans="2:4" x14ac:dyDescent="0.25">
      <c r="B493" s="29"/>
      <c r="C493" s="29"/>
      <c r="D493" s="29"/>
    </row>
    <row r="494" spans="2:4" x14ac:dyDescent="0.25">
      <c r="B494" s="29"/>
      <c r="C494" s="29"/>
      <c r="D494" s="29"/>
    </row>
    <row r="495" spans="2:4" x14ac:dyDescent="0.25">
      <c r="B495" s="29"/>
      <c r="C495" s="29"/>
      <c r="D495" s="29"/>
    </row>
    <row r="496" spans="2:4" x14ac:dyDescent="0.25">
      <c r="B496" s="29"/>
      <c r="C496" s="29"/>
      <c r="D496" s="29"/>
    </row>
    <row r="497" spans="2:4" x14ac:dyDescent="0.25">
      <c r="B497" s="29"/>
      <c r="C497" s="29"/>
      <c r="D497" s="29"/>
    </row>
    <row r="498" spans="2:4" x14ac:dyDescent="0.25">
      <c r="B498" s="29"/>
      <c r="C498" s="29"/>
      <c r="D498" s="29"/>
    </row>
    <row r="499" spans="2:4" x14ac:dyDescent="0.25">
      <c r="B499" s="29"/>
      <c r="C499" s="29"/>
      <c r="D499" s="29"/>
    </row>
    <row r="500" spans="2:4" x14ac:dyDescent="0.25">
      <c r="B500" s="29"/>
      <c r="C500" s="29"/>
      <c r="D500" s="29"/>
    </row>
    <row r="501" spans="2:4" x14ac:dyDescent="0.25">
      <c r="B501" s="29"/>
      <c r="C501" s="29"/>
      <c r="D501" s="29"/>
    </row>
    <row r="502" spans="2:4" x14ac:dyDescent="0.25">
      <c r="B502" s="13"/>
      <c r="C502" s="13"/>
      <c r="D502" s="29"/>
    </row>
    <row r="503" spans="2:4" x14ac:dyDescent="0.25">
      <c r="B503" s="13"/>
      <c r="C503" s="13"/>
      <c r="D503" s="29"/>
    </row>
    <row r="504" spans="2:4" x14ac:dyDescent="0.25">
      <c r="B504" s="13"/>
      <c r="C504" s="13"/>
      <c r="D504" s="29"/>
    </row>
    <row r="505" spans="2:4" x14ac:dyDescent="0.25">
      <c r="B505" s="13"/>
      <c r="C505" s="13"/>
      <c r="D505" s="29"/>
    </row>
    <row r="506" spans="2:4" x14ac:dyDescent="0.25">
      <c r="B506" s="13"/>
      <c r="C506" s="13"/>
      <c r="D506" s="29"/>
    </row>
    <row r="507" spans="2:4" x14ac:dyDescent="0.25">
      <c r="B507" s="13"/>
      <c r="C507" s="13"/>
      <c r="D507" s="29"/>
    </row>
    <row r="508" spans="2:4" x14ac:dyDescent="0.25">
      <c r="B508" s="13"/>
      <c r="C508" s="13"/>
      <c r="D508" s="29"/>
    </row>
    <row r="509" spans="2:4" x14ac:dyDescent="0.25">
      <c r="B509" s="13"/>
      <c r="C509" s="13"/>
      <c r="D509" s="29"/>
    </row>
    <row r="510" spans="2:4" x14ac:dyDescent="0.25">
      <c r="B510" s="13"/>
      <c r="C510" s="13"/>
      <c r="D510" s="29"/>
    </row>
    <row r="511" spans="2:4" x14ac:dyDescent="0.25">
      <c r="B511" s="13"/>
      <c r="C511" s="13"/>
      <c r="D511" s="29"/>
    </row>
    <row r="512" spans="2:4" x14ac:dyDescent="0.25">
      <c r="B512" s="13"/>
      <c r="C512" s="13"/>
      <c r="D512" s="29"/>
    </row>
    <row r="513" spans="2:4" x14ac:dyDescent="0.25">
      <c r="B513" s="13"/>
      <c r="C513" s="13"/>
      <c r="D513" s="29"/>
    </row>
    <row r="514" spans="2:4" x14ac:dyDescent="0.25">
      <c r="B514" s="13"/>
      <c r="C514" s="13"/>
      <c r="D514" s="29"/>
    </row>
    <row r="515" spans="2:4" x14ac:dyDescent="0.25">
      <c r="B515" s="13"/>
      <c r="C515" s="13"/>
      <c r="D515" s="29"/>
    </row>
    <row r="516" spans="2:4" x14ac:dyDescent="0.25">
      <c r="B516" s="13"/>
      <c r="C516" s="13"/>
      <c r="D516" s="29"/>
    </row>
    <row r="517" spans="2:4" x14ac:dyDescent="0.25">
      <c r="B517" s="13"/>
      <c r="C517" s="13"/>
      <c r="D517" s="29"/>
    </row>
    <row r="518" spans="2:4" x14ac:dyDescent="0.25">
      <c r="B518" s="13"/>
      <c r="C518" s="13"/>
      <c r="D518" s="29"/>
    </row>
    <row r="519" spans="2:4" x14ac:dyDescent="0.25">
      <c r="B519" s="13"/>
      <c r="C519" s="13"/>
      <c r="D519" s="29"/>
    </row>
    <row r="520" spans="2:4" x14ac:dyDescent="0.25">
      <c r="B520" s="13"/>
      <c r="C520" s="13"/>
      <c r="D520" s="29"/>
    </row>
    <row r="521" spans="2:4" x14ac:dyDescent="0.25">
      <c r="B521" s="13"/>
      <c r="C521" s="13"/>
      <c r="D521" s="29"/>
    </row>
    <row r="522" spans="2:4" x14ac:dyDescent="0.25">
      <c r="B522" s="13"/>
      <c r="C522" s="13"/>
      <c r="D522" s="29"/>
    </row>
    <row r="523" spans="2:4" x14ac:dyDescent="0.25">
      <c r="B523" s="13"/>
      <c r="C523" s="13"/>
      <c r="D523" s="29"/>
    </row>
    <row r="524" spans="2:4" x14ac:dyDescent="0.25">
      <c r="B524" s="13"/>
      <c r="C524" s="13"/>
      <c r="D524" s="29"/>
    </row>
    <row r="525" spans="2:4" x14ac:dyDescent="0.25">
      <c r="B525" s="13"/>
      <c r="C525" s="13"/>
      <c r="D525" s="29"/>
    </row>
    <row r="526" spans="2:4" x14ac:dyDescent="0.25">
      <c r="B526" s="13"/>
      <c r="C526" s="13"/>
      <c r="D526" s="29"/>
    </row>
    <row r="527" spans="2:4" x14ac:dyDescent="0.25">
      <c r="B527" s="13"/>
      <c r="C527" s="13"/>
      <c r="D527" s="29"/>
    </row>
    <row r="528" spans="2:4" x14ac:dyDescent="0.25">
      <c r="B528" s="13"/>
      <c r="C528" s="13"/>
      <c r="D528" s="29"/>
    </row>
    <row r="529" spans="2:4" x14ac:dyDescent="0.25">
      <c r="B529" s="13"/>
      <c r="C529" s="13"/>
      <c r="D529" s="29"/>
    </row>
    <row r="530" spans="2:4" x14ac:dyDescent="0.25">
      <c r="B530" s="13"/>
      <c r="C530" s="13"/>
      <c r="D530" s="29"/>
    </row>
    <row r="531" spans="2:4" x14ac:dyDescent="0.25">
      <c r="B531" s="13"/>
      <c r="C531" s="13"/>
      <c r="D531" s="29"/>
    </row>
    <row r="532" spans="2:4" x14ac:dyDescent="0.25">
      <c r="B532" s="13"/>
      <c r="C532" s="13"/>
      <c r="D532" s="29"/>
    </row>
    <row r="533" spans="2:4" x14ac:dyDescent="0.25">
      <c r="B533" s="13"/>
      <c r="C533" s="13"/>
      <c r="D533" s="29"/>
    </row>
    <row r="534" spans="2:4" x14ac:dyDescent="0.25">
      <c r="B534" s="13"/>
      <c r="C534" s="13"/>
      <c r="D534" s="29"/>
    </row>
    <row r="535" spans="2:4" x14ac:dyDescent="0.25">
      <c r="B535" s="13"/>
      <c r="C535" s="13"/>
      <c r="D535" s="29"/>
    </row>
    <row r="536" spans="2:4" x14ac:dyDescent="0.25">
      <c r="B536" s="13"/>
      <c r="C536" s="13"/>
      <c r="D536" s="29"/>
    </row>
    <row r="537" spans="2:4" x14ac:dyDescent="0.25">
      <c r="B537" s="13"/>
      <c r="C537" s="13"/>
      <c r="D537" s="29"/>
    </row>
    <row r="538" spans="2:4" x14ac:dyDescent="0.25">
      <c r="B538" s="13"/>
      <c r="C538" s="13"/>
      <c r="D538" s="29"/>
    </row>
    <row r="539" spans="2:4" x14ac:dyDescent="0.25">
      <c r="B539" s="13"/>
      <c r="C539" s="13"/>
      <c r="D539" s="29"/>
    </row>
    <row r="540" spans="2:4" x14ac:dyDescent="0.25">
      <c r="B540" s="13"/>
      <c r="C540" s="13"/>
      <c r="D540" s="29"/>
    </row>
    <row r="541" spans="2:4" x14ac:dyDescent="0.25">
      <c r="B541" s="13"/>
      <c r="C541" s="13"/>
      <c r="D541" s="29"/>
    </row>
    <row r="542" spans="2:4" x14ac:dyDescent="0.25">
      <c r="B542" s="13"/>
      <c r="C542" s="13"/>
      <c r="D542" s="29"/>
    </row>
    <row r="543" spans="2:4" x14ac:dyDescent="0.25">
      <c r="B543" s="13"/>
      <c r="C543" s="13"/>
      <c r="D543" s="29"/>
    </row>
    <row r="544" spans="2:4" x14ac:dyDescent="0.25">
      <c r="B544" s="13"/>
      <c r="C544" s="13"/>
      <c r="D544" s="29"/>
    </row>
    <row r="545" spans="2:4" x14ac:dyDescent="0.25">
      <c r="B545" s="13"/>
      <c r="C545" s="13"/>
      <c r="D545" s="29"/>
    </row>
    <row r="546" spans="2:4" x14ac:dyDescent="0.25">
      <c r="B546" s="13"/>
      <c r="C546" s="13"/>
      <c r="D546" s="29"/>
    </row>
    <row r="547" spans="2:4" x14ac:dyDescent="0.25">
      <c r="B547" s="13"/>
      <c r="C547" s="13"/>
      <c r="D547" s="29"/>
    </row>
    <row r="548" spans="2:4" x14ac:dyDescent="0.25">
      <c r="B548" s="13"/>
      <c r="C548" s="13"/>
      <c r="D548" s="29"/>
    </row>
    <row r="549" spans="2:4" x14ac:dyDescent="0.25">
      <c r="B549" s="13"/>
      <c r="C549" s="13"/>
      <c r="D549" s="29"/>
    </row>
    <row r="550" spans="2:4" x14ac:dyDescent="0.25">
      <c r="B550" s="13"/>
      <c r="C550" s="13"/>
      <c r="D550" s="29"/>
    </row>
    <row r="551" spans="2:4" x14ac:dyDescent="0.25">
      <c r="B551" s="13"/>
      <c r="C551" s="13"/>
      <c r="D551" s="29"/>
    </row>
    <row r="552" spans="2:4" x14ac:dyDescent="0.25">
      <c r="B552" s="13"/>
      <c r="C552" s="13"/>
      <c r="D552" s="29"/>
    </row>
    <row r="553" spans="2:4" x14ac:dyDescent="0.25">
      <c r="B553" s="13"/>
      <c r="C553" s="13"/>
      <c r="D553" s="29"/>
    </row>
    <row r="554" spans="2:4" x14ac:dyDescent="0.25">
      <c r="B554" s="13"/>
      <c r="C554" s="13"/>
      <c r="D554" s="29"/>
    </row>
    <row r="555" spans="2:4" x14ac:dyDescent="0.25">
      <c r="B555" s="13"/>
      <c r="C555" s="13"/>
      <c r="D555" s="29"/>
    </row>
    <row r="556" spans="2:4" x14ac:dyDescent="0.25">
      <c r="B556" s="13"/>
      <c r="C556" s="13"/>
      <c r="D556" s="29"/>
    </row>
    <row r="557" spans="2:4" x14ac:dyDescent="0.25">
      <c r="B557" s="13"/>
      <c r="C557" s="13"/>
      <c r="D557" s="29"/>
    </row>
    <row r="558" spans="2:4" x14ac:dyDescent="0.25">
      <c r="B558" s="13"/>
      <c r="C558" s="13"/>
      <c r="D558" s="29"/>
    </row>
    <row r="559" spans="2:4" x14ac:dyDescent="0.25">
      <c r="B559" s="13"/>
      <c r="C559" s="13"/>
      <c r="D559" s="29"/>
    </row>
    <row r="560" spans="2:4" x14ac:dyDescent="0.25">
      <c r="B560" s="13"/>
      <c r="C560" s="13"/>
      <c r="D560" s="29"/>
    </row>
    <row r="561" spans="2:4" x14ac:dyDescent="0.25">
      <c r="B561" s="13"/>
      <c r="C561" s="13"/>
      <c r="D561" s="29"/>
    </row>
    <row r="562" spans="2:4" x14ac:dyDescent="0.25">
      <c r="B562" s="13"/>
      <c r="C562" s="13"/>
      <c r="D562" s="29"/>
    </row>
    <row r="563" spans="2:4" x14ac:dyDescent="0.25">
      <c r="B563" s="13"/>
      <c r="C563" s="13"/>
      <c r="D563" s="29"/>
    </row>
    <row r="564" spans="2:4" x14ac:dyDescent="0.25">
      <c r="B564" s="13"/>
      <c r="C564" s="13"/>
      <c r="D564" s="29"/>
    </row>
    <row r="565" spans="2:4" x14ac:dyDescent="0.25">
      <c r="B565" s="13"/>
      <c r="C565" s="13"/>
      <c r="D565" s="29"/>
    </row>
    <row r="566" spans="2:4" x14ac:dyDescent="0.25">
      <c r="B566" s="13"/>
      <c r="C566" s="13"/>
      <c r="D566" s="29"/>
    </row>
    <row r="567" spans="2:4" x14ac:dyDescent="0.25">
      <c r="B567" s="13"/>
      <c r="C567" s="13"/>
      <c r="D567" s="29"/>
    </row>
    <row r="568" spans="2:4" x14ac:dyDescent="0.25">
      <c r="B568" s="13"/>
      <c r="C568" s="13"/>
      <c r="D568" s="29"/>
    </row>
    <row r="569" spans="2:4" x14ac:dyDescent="0.25">
      <c r="B569" s="13"/>
      <c r="C569" s="13"/>
      <c r="D569" s="29"/>
    </row>
    <row r="570" spans="2:4" x14ac:dyDescent="0.25">
      <c r="B570" s="13"/>
      <c r="C570" s="13"/>
      <c r="D570" s="29"/>
    </row>
    <row r="571" spans="2:4" x14ac:dyDescent="0.25">
      <c r="B571" s="13"/>
      <c r="C571" s="13"/>
      <c r="D571" s="29"/>
    </row>
    <row r="572" spans="2:4" x14ac:dyDescent="0.25">
      <c r="B572" s="13"/>
      <c r="C572" s="13"/>
      <c r="D572" s="29"/>
    </row>
    <row r="573" spans="2:4" x14ac:dyDescent="0.25">
      <c r="B573" s="13"/>
      <c r="C573" s="13"/>
      <c r="D573" s="29"/>
    </row>
    <row r="574" spans="2:4" x14ac:dyDescent="0.25">
      <c r="B574" s="13"/>
      <c r="C574" s="13"/>
      <c r="D574" s="29"/>
    </row>
    <row r="575" spans="2:4" x14ac:dyDescent="0.25">
      <c r="B575" s="13"/>
      <c r="C575" s="13"/>
      <c r="D575" s="29"/>
    </row>
    <row r="576" spans="2:4" x14ac:dyDescent="0.25">
      <c r="B576" s="13"/>
      <c r="C576" s="13"/>
      <c r="D576" s="29"/>
    </row>
    <row r="577" spans="2:4" x14ac:dyDescent="0.25">
      <c r="B577" s="13"/>
      <c r="C577" s="13"/>
      <c r="D577" s="29"/>
    </row>
    <row r="578" spans="2:4" x14ac:dyDescent="0.25">
      <c r="B578" s="13"/>
      <c r="C578" s="13"/>
      <c r="D578" s="29"/>
    </row>
    <row r="579" spans="2:4" x14ac:dyDescent="0.25">
      <c r="B579" s="13"/>
      <c r="C579" s="13"/>
      <c r="D579" s="29"/>
    </row>
    <row r="580" spans="2:4" x14ac:dyDescent="0.25">
      <c r="B580" s="13"/>
      <c r="C580" s="13"/>
      <c r="D580" s="29"/>
    </row>
    <row r="581" spans="2:4" x14ac:dyDescent="0.25">
      <c r="B581" s="13"/>
      <c r="C581" s="13"/>
      <c r="D581" s="29"/>
    </row>
    <row r="582" spans="2:4" x14ac:dyDescent="0.25">
      <c r="B582" s="13"/>
      <c r="C582" s="13"/>
      <c r="D582" s="29"/>
    </row>
    <row r="583" spans="2:4" x14ac:dyDescent="0.25">
      <c r="B583" s="13"/>
      <c r="C583" s="13"/>
      <c r="D583" s="29"/>
    </row>
    <row r="584" spans="2:4" x14ac:dyDescent="0.25">
      <c r="B584" s="13"/>
      <c r="C584" s="13"/>
      <c r="D584" s="29"/>
    </row>
    <row r="585" spans="2:4" x14ac:dyDescent="0.25">
      <c r="B585" s="13"/>
      <c r="C585" s="13"/>
      <c r="D585" s="29"/>
    </row>
    <row r="586" spans="2:4" x14ac:dyDescent="0.25">
      <c r="B586" s="13"/>
      <c r="C586" s="13"/>
      <c r="D586" s="29"/>
    </row>
    <row r="587" spans="2:4" x14ac:dyDescent="0.25">
      <c r="B587" s="13"/>
      <c r="C587" s="13"/>
      <c r="D587" s="29"/>
    </row>
    <row r="588" spans="2:4" x14ac:dyDescent="0.25">
      <c r="B588" s="13"/>
      <c r="C588" s="13"/>
      <c r="D588" s="29"/>
    </row>
    <row r="589" spans="2:4" x14ac:dyDescent="0.25">
      <c r="B589" s="13"/>
      <c r="C589" s="13"/>
      <c r="D589" s="29"/>
    </row>
    <row r="590" spans="2:4" x14ac:dyDescent="0.25">
      <c r="B590" s="13"/>
      <c r="C590" s="13"/>
      <c r="D590" s="29"/>
    </row>
    <row r="591" spans="2:4" x14ac:dyDescent="0.25">
      <c r="B591" s="13"/>
      <c r="C591" s="13"/>
      <c r="D591" s="29"/>
    </row>
    <row r="592" spans="2:4" x14ac:dyDescent="0.25">
      <c r="B592" s="13"/>
      <c r="C592" s="13"/>
      <c r="D592" s="29"/>
    </row>
    <row r="593" spans="2:4" x14ac:dyDescent="0.25">
      <c r="B593" s="13"/>
      <c r="C593" s="13"/>
      <c r="D593" s="29"/>
    </row>
    <row r="594" spans="2:4" x14ac:dyDescent="0.25">
      <c r="B594" s="13"/>
      <c r="C594" s="13"/>
      <c r="D594" s="29"/>
    </row>
    <row r="595" spans="2:4" x14ac:dyDescent="0.25">
      <c r="B595" s="13"/>
      <c r="C595" s="13"/>
      <c r="D595" s="29"/>
    </row>
    <row r="596" spans="2:4" x14ac:dyDescent="0.25">
      <c r="B596" s="13"/>
      <c r="C596" s="13"/>
      <c r="D596" s="29"/>
    </row>
    <row r="597" spans="2:4" x14ac:dyDescent="0.25">
      <c r="B597" s="13"/>
      <c r="C597" s="13"/>
      <c r="D597" s="29"/>
    </row>
    <row r="598" spans="2:4" x14ac:dyDescent="0.25">
      <c r="B598" s="13"/>
      <c r="C598" s="13"/>
      <c r="D598" s="29"/>
    </row>
    <row r="599" spans="2:4" x14ac:dyDescent="0.25">
      <c r="B599" s="13"/>
      <c r="C599" s="13"/>
      <c r="D599" s="29"/>
    </row>
    <row r="600" spans="2:4" x14ac:dyDescent="0.25">
      <c r="B600" s="13"/>
      <c r="C600" s="13"/>
      <c r="D600" s="29"/>
    </row>
    <row r="601" spans="2:4" x14ac:dyDescent="0.25">
      <c r="B601" s="13"/>
      <c r="C601" s="13"/>
      <c r="D601" s="29"/>
    </row>
    <row r="602" spans="2:4" x14ac:dyDescent="0.25">
      <c r="B602" s="13"/>
      <c r="C602" s="13"/>
      <c r="D602" s="29"/>
    </row>
    <row r="603" spans="2:4" x14ac:dyDescent="0.25">
      <c r="B603" s="13"/>
      <c r="C603" s="13"/>
      <c r="D603" s="29"/>
    </row>
    <row r="604" spans="2:4" x14ac:dyDescent="0.25">
      <c r="B604" s="13"/>
      <c r="C604" s="13"/>
      <c r="D604" s="29"/>
    </row>
    <row r="605" spans="2:4" x14ac:dyDescent="0.25">
      <c r="B605" s="13"/>
      <c r="C605" s="13"/>
      <c r="D605" s="29"/>
    </row>
    <row r="606" spans="2:4" x14ac:dyDescent="0.25">
      <c r="B606" s="13"/>
      <c r="C606" s="13"/>
      <c r="D606" s="29"/>
    </row>
    <row r="607" spans="2:4" x14ac:dyDescent="0.25">
      <c r="B607" s="13"/>
      <c r="C607" s="13"/>
      <c r="D607" s="29"/>
    </row>
    <row r="608" spans="2:4" x14ac:dyDescent="0.25">
      <c r="B608" s="13"/>
      <c r="C608" s="13"/>
      <c r="D608" s="29"/>
    </row>
    <row r="609" spans="2:4" x14ac:dyDescent="0.25">
      <c r="B609" s="13"/>
      <c r="C609" s="13"/>
      <c r="D609" s="29"/>
    </row>
    <row r="610" spans="2:4" x14ac:dyDescent="0.25">
      <c r="B610" s="13"/>
      <c r="C610" s="13"/>
      <c r="D610" s="29"/>
    </row>
    <row r="611" spans="2:4" x14ac:dyDescent="0.25">
      <c r="B611" s="13"/>
      <c r="C611" s="13"/>
      <c r="D611" s="29"/>
    </row>
    <row r="612" spans="2:4" x14ac:dyDescent="0.25">
      <c r="B612" s="13"/>
      <c r="C612" s="13"/>
      <c r="D612" s="29"/>
    </row>
    <row r="613" spans="2:4" x14ac:dyDescent="0.25">
      <c r="B613" s="13"/>
      <c r="C613" s="13"/>
      <c r="D613" s="29"/>
    </row>
    <row r="614" spans="2:4" x14ac:dyDescent="0.25">
      <c r="B614" s="13"/>
      <c r="C614" s="13"/>
      <c r="D614" s="29"/>
    </row>
    <row r="615" spans="2:4" x14ac:dyDescent="0.25">
      <c r="B615" s="13"/>
      <c r="C615" s="13"/>
      <c r="D615" s="29"/>
    </row>
    <row r="616" spans="2:4" x14ac:dyDescent="0.25">
      <c r="B616" s="13"/>
      <c r="C616" s="13"/>
      <c r="D616" s="29"/>
    </row>
    <row r="617" spans="2:4" x14ac:dyDescent="0.25">
      <c r="B617" s="13"/>
      <c r="C617" s="13"/>
      <c r="D617" s="29"/>
    </row>
    <row r="618" spans="2:4" x14ac:dyDescent="0.25">
      <c r="B618" s="13"/>
      <c r="C618" s="13"/>
      <c r="D618" s="29"/>
    </row>
    <row r="619" spans="2:4" x14ac:dyDescent="0.25">
      <c r="B619" s="13"/>
      <c r="C619" s="13"/>
      <c r="D619" s="29"/>
    </row>
    <row r="620" spans="2:4" x14ac:dyDescent="0.25">
      <c r="B620" s="13"/>
      <c r="C620" s="13"/>
      <c r="D620" s="29"/>
    </row>
    <row r="621" spans="2:4" x14ac:dyDescent="0.25">
      <c r="B621" s="13"/>
      <c r="C621" s="13"/>
      <c r="D621" s="29"/>
    </row>
    <row r="622" spans="2:4" x14ac:dyDescent="0.25">
      <c r="B622" s="13"/>
      <c r="C622" s="13"/>
      <c r="D622" s="29"/>
    </row>
    <row r="623" spans="2:4" x14ac:dyDescent="0.25">
      <c r="B623" s="13"/>
      <c r="C623" s="13"/>
      <c r="D623" s="29"/>
    </row>
    <row r="624" spans="2:4" x14ac:dyDescent="0.25">
      <c r="B624" s="13"/>
      <c r="C624" s="13"/>
      <c r="D624" s="29"/>
    </row>
    <row r="625" spans="2:4" x14ac:dyDescent="0.25">
      <c r="B625" s="13"/>
      <c r="C625" s="13"/>
      <c r="D625" s="29"/>
    </row>
    <row r="626" spans="2:4" x14ac:dyDescent="0.25">
      <c r="B626" s="13"/>
      <c r="C626" s="13"/>
      <c r="D626" s="29"/>
    </row>
    <row r="627" spans="2:4" x14ac:dyDescent="0.25">
      <c r="B627" s="13"/>
      <c r="C627" s="13"/>
      <c r="D627" s="29"/>
    </row>
    <row r="628" spans="2:4" x14ac:dyDescent="0.25">
      <c r="B628" s="13"/>
      <c r="C628" s="13"/>
      <c r="D628" s="29"/>
    </row>
    <row r="629" spans="2:4" x14ac:dyDescent="0.25">
      <c r="B629" s="13"/>
      <c r="C629" s="13"/>
      <c r="D629" s="29"/>
    </row>
    <row r="630" spans="2:4" x14ac:dyDescent="0.25">
      <c r="B630" s="13"/>
      <c r="C630" s="13"/>
      <c r="D630" s="29"/>
    </row>
    <row r="631" spans="2:4" x14ac:dyDescent="0.25">
      <c r="B631" s="13"/>
      <c r="C631" s="13"/>
      <c r="D631" s="29"/>
    </row>
    <row r="632" spans="2:4" x14ac:dyDescent="0.25">
      <c r="B632" s="13"/>
      <c r="C632" s="13"/>
      <c r="D632" s="29"/>
    </row>
    <row r="633" spans="2:4" x14ac:dyDescent="0.25">
      <c r="B633" s="13"/>
      <c r="C633" s="13"/>
      <c r="D633" s="29"/>
    </row>
    <row r="634" spans="2:4" x14ac:dyDescent="0.25">
      <c r="B634" s="13"/>
      <c r="C634" s="13"/>
      <c r="D634" s="29"/>
    </row>
    <row r="635" spans="2:4" x14ac:dyDescent="0.25">
      <c r="B635" s="13"/>
      <c r="C635" s="13"/>
      <c r="D635" s="29"/>
    </row>
    <row r="636" spans="2:4" x14ac:dyDescent="0.25">
      <c r="B636" s="13"/>
      <c r="C636" s="13"/>
      <c r="D636" s="29"/>
    </row>
    <row r="637" spans="2:4" x14ac:dyDescent="0.25">
      <c r="B637" s="13"/>
      <c r="C637" s="13"/>
      <c r="D637" s="29"/>
    </row>
    <row r="638" spans="2:4" x14ac:dyDescent="0.25">
      <c r="B638" s="13"/>
      <c r="C638" s="13"/>
      <c r="D638" s="29"/>
    </row>
    <row r="639" spans="2:4" x14ac:dyDescent="0.25">
      <c r="B639" s="13"/>
      <c r="C639" s="13"/>
      <c r="D639" s="29"/>
    </row>
    <row r="640" spans="2:4" x14ac:dyDescent="0.25">
      <c r="B640" s="13"/>
      <c r="C640" s="13"/>
      <c r="D640" s="29"/>
    </row>
    <row r="641" spans="2:4" x14ac:dyDescent="0.25">
      <c r="B641" s="13"/>
      <c r="C641" s="13"/>
      <c r="D641" s="29"/>
    </row>
    <row r="642" spans="2:4" x14ac:dyDescent="0.25">
      <c r="B642" s="13"/>
      <c r="C642" s="13"/>
      <c r="D642" s="29"/>
    </row>
    <row r="643" spans="2:4" x14ac:dyDescent="0.25">
      <c r="B643" s="13"/>
      <c r="C643" s="13"/>
      <c r="D643" s="29"/>
    </row>
    <row r="644" spans="2:4" x14ac:dyDescent="0.25">
      <c r="B644" s="13"/>
      <c r="C644" s="13"/>
      <c r="D644" s="29"/>
    </row>
    <row r="645" spans="2:4" x14ac:dyDescent="0.25">
      <c r="B645" s="13"/>
      <c r="C645" s="13"/>
      <c r="D645" s="29"/>
    </row>
    <row r="646" spans="2:4" x14ac:dyDescent="0.25">
      <c r="B646" s="13"/>
      <c r="C646" s="13"/>
      <c r="D646" s="29"/>
    </row>
    <row r="647" spans="2:4" x14ac:dyDescent="0.25">
      <c r="B647" s="13"/>
      <c r="C647" s="13"/>
      <c r="D647" s="29"/>
    </row>
    <row r="648" spans="2:4" x14ac:dyDescent="0.25">
      <c r="B648" s="13"/>
      <c r="C648" s="13"/>
      <c r="D648" s="29"/>
    </row>
    <row r="649" spans="2:4" x14ac:dyDescent="0.25">
      <c r="B649" s="13"/>
      <c r="C649" s="13"/>
      <c r="D649" s="29"/>
    </row>
    <row r="650" spans="2:4" x14ac:dyDescent="0.25">
      <c r="B650" s="13"/>
      <c r="C650" s="13"/>
      <c r="D650" s="29"/>
    </row>
    <row r="651" spans="2:4" x14ac:dyDescent="0.25">
      <c r="B651" s="13"/>
      <c r="C651" s="13"/>
      <c r="D651" s="29"/>
    </row>
    <row r="652" spans="2:4" x14ac:dyDescent="0.25">
      <c r="B652" s="13"/>
      <c r="C652" s="13"/>
      <c r="D652" s="29"/>
    </row>
    <row r="653" spans="2:4" x14ac:dyDescent="0.25">
      <c r="B653" s="13"/>
      <c r="C653" s="13"/>
      <c r="D653" s="29"/>
    </row>
    <row r="654" spans="2:4" x14ac:dyDescent="0.25">
      <c r="B654" s="13"/>
      <c r="C654" s="13"/>
      <c r="D654" s="29"/>
    </row>
    <row r="655" spans="2:4" x14ac:dyDescent="0.25">
      <c r="B655" s="13"/>
      <c r="C655" s="13"/>
      <c r="D655" s="29"/>
    </row>
    <row r="656" spans="2:4" x14ac:dyDescent="0.25">
      <c r="B656" s="13"/>
      <c r="C656" s="13"/>
      <c r="D656" s="29"/>
    </row>
    <row r="657" spans="2:4" x14ac:dyDescent="0.25">
      <c r="B657" s="13"/>
      <c r="C657" s="13"/>
      <c r="D657" s="29"/>
    </row>
    <row r="658" spans="2:4" x14ac:dyDescent="0.25">
      <c r="B658" s="13"/>
      <c r="C658" s="13"/>
      <c r="D658" s="29"/>
    </row>
    <row r="659" spans="2:4" x14ac:dyDescent="0.25">
      <c r="B659" s="13"/>
      <c r="C659" s="13"/>
      <c r="D659" s="29"/>
    </row>
    <row r="660" spans="2:4" x14ac:dyDescent="0.25">
      <c r="B660" s="13"/>
      <c r="C660" s="13"/>
      <c r="D660" s="29"/>
    </row>
    <row r="661" spans="2:4" x14ac:dyDescent="0.25">
      <c r="B661" s="13"/>
      <c r="C661" s="13"/>
      <c r="D661" s="29"/>
    </row>
    <row r="662" spans="2:4" x14ac:dyDescent="0.25">
      <c r="B662" s="13"/>
      <c r="C662" s="13"/>
      <c r="D662" s="29"/>
    </row>
    <row r="663" spans="2:4" x14ac:dyDescent="0.25">
      <c r="B663" s="13"/>
      <c r="C663" s="13"/>
      <c r="D663" s="29"/>
    </row>
    <row r="664" spans="2:4" x14ac:dyDescent="0.25">
      <c r="B664" s="13"/>
      <c r="C664" s="13"/>
      <c r="D664" s="29"/>
    </row>
    <row r="665" spans="2:4" x14ac:dyDescent="0.25">
      <c r="B665" s="13"/>
      <c r="C665" s="13"/>
      <c r="D665" s="29"/>
    </row>
    <row r="666" spans="2:4" x14ac:dyDescent="0.25">
      <c r="B666" s="13"/>
      <c r="C666" s="13"/>
      <c r="D666" s="29"/>
    </row>
    <row r="667" spans="2:4" x14ac:dyDescent="0.25">
      <c r="B667" s="13"/>
      <c r="C667" s="13"/>
      <c r="D667" s="29"/>
    </row>
    <row r="668" spans="2:4" x14ac:dyDescent="0.25">
      <c r="B668" s="13"/>
      <c r="C668" s="13"/>
      <c r="D668" s="29"/>
    </row>
    <row r="669" spans="2:4" x14ac:dyDescent="0.25">
      <c r="B669" s="13"/>
      <c r="C669" s="13"/>
      <c r="D669" s="29"/>
    </row>
    <row r="670" spans="2:4" x14ac:dyDescent="0.25">
      <c r="B670" s="13"/>
      <c r="C670" s="13"/>
      <c r="D670" s="29"/>
    </row>
    <row r="671" spans="2:4" x14ac:dyDescent="0.25">
      <c r="B671" s="13"/>
      <c r="C671" s="13"/>
      <c r="D671" s="29"/>
    </row>
    <row r="672" spans="2:4" x14ac:dyDescent="0.25">
      <c r="B672" s="13"/>
      <c r="C672" s="13"/>
      <c r="D672" s="29"/>
    </row>
    <row r="673" spans="2:4" x14ac:dyDescent="0.25">
      <c r="B673" s="13"/>
      <c r="C673" s="13"/>
      <c r="D673" s="29"/>
    </row>
    <row r="674" spans="2:4" x14ac:dyDescent="0.25">
      <c r="B674" s="13"/>
      <c r="C674" s="13"/>
      <c r="D674" s="29"/>
    </row>
    <row r="675" spans="2:4" x14ac:dyDescent="0.25">
      <c r="B675" s="13"/>
      <c r="C675" s="13"/>
      <c r="D675" s="29"/>
    </row>
    <row r="676" spans="2:4" x14ac:dyDescent="0.25">
      <c r="B676" s="13"/>
      <c r="C676" s="13"/>
      <c r="D676" s="29"/>
    </row>
    <row r="677" spans="2:4" x14ac:dyDescent="0.25">
      <c r="B677" s="13"/>
      <c r="C677" s="13"/>
      <c r="D677" s="29"/>
    </row>
    <row r="678" spans="2:4" x14ac:dyDescent="0.25">
      <c r="B678" s="13"/>
      <c r="C678" s="13"/>
      <c r="D678" s="29"/>
    </row>
    <row r="679" spans="2:4" x14ac:dyDescent="0.25">
      <c r="B679" s="13"/>
      <c r="C679" s="13"/>
      <c r="D679" s="29"/>
    </row>
    <row r="680" spans="2:4" x14ac:dyDescent="0.25">
      <c r="B680" s="13"/>
      <c r="C680" s="13"/>
      <c r="D680" s="29"/>
    </row>
    <row r="681" spans="2:4" x14ac:dyDescent="0.25">
      <c r="B681" s="13"/>
      <c r="C681" s="13"/>
      <c r="D681" s="29"/>
    </row>
    <row r="682" spans="2:4" x14ac:dyDescent="0.25">
      <c r="B682" s="13"/>
      <c r="C682" s="13"/>
      <c r="D682" s="29"/>
    </row>
    <row r="683" spans="2:4" x14ac:dyDescent="0.25">
      <c r="B683" s="13"/>
      <c r="C683" s="13"/>
      <c r="D683" s="29"/>
    </row>
    <row r="684" spans="2:4" x14ac:dyDescent="0.25">
      <c r="B684" s="13"/>
      <c r="C684" s="13"/>
      <c r="D684" s="29"/>
    </row>
    <row r="685" spans="2:4" x14ac:dyDescent="0.25">
      <c r="B685" s="13"/>
      <c r="C685" s="13"/>
      <c r="D685" s="29"/>
    </row>
    <row r="686" spans="2:4" x14ac:dyDescent="0.25">
      <c r="B686" s="13"/>
      <c r="C686" s="13"/>
      <c r="D686" s="29"/>
    </row>
    <row r="687" spans="2:4" x14ac:dyDescent="0.25">
      <c r="B687" s="13"/>
      <c r="C687" s="13"/>
      <c r="D687" s="29"/>
    </row>
    <row r="688" spans="2:4" x14ac:dyDescent="0.25">
      <c r="B688" s="13"/>
      <c r="C688" s="13"/>
      <c r="D688" s="29"/>
    </row>
    <row r="689" spans="2:4" x14ac:dyDescent="0.25">
      <c r="B689" s="13"/>
      <c r="C689" s="13"/>
      <c r="D689" s="29"/>
    </row>
    <row r="690" spans="2:4" x14ac:dyDescent="0.25">
      <c r="B690" s="13"/>
      <c r="C690" s="13"/>
      <c r="D690" s="29"/>
    </row>
    <row r="691" spans="2:4" x14ac:dyDescent="0.25">
      <c r="B691" s="13"/>
      <c r="C691" s="13"/>
      <c r="D691" s="29"/>
    </row>
    <row r="692" spans="2:4" x14ac:dyDescent="0.25">
      <c r="B692" s="13"/>
      <c r="C692" s="13"/>
      <c r="D692" s="29"/>
    </row>
    <row r="693" spans="2:4" x14ac:dyDescent="0.25">
      <c r="B693" s="13"/>
      <c r="C693" s="13"/>
      <c r="D693" s="29"/>
    </row>
    <row r="694" spans="2:4" x14ac:dyDescent="0.25">
      <c r="B694" s="13"/>
      <c r="C694" s="13"/>
      <c r="D694" s="29"/>
    </row>
    <row r="695" spans="2:4" x14ac:dyDescent="0.25">
      <c r="B695" s="13"/>
      <c r="C695" s="13"/>
      <c r="D695" s="29"/>
    </row>
    <row r="696" spans="2:4" x14ac:dyDescent="0.25">
      <c r="B696" s="13"/>
      <c r="C696" s="13"/>
      <c r="D696" s="29"/>
    </row>
    <row r="697" spans="2:4" x14ac:dyDescent="0.25">
      <c r="B697" s="13"/>
      <c r="C697" s="13"/>
      <c r="D697" s="29"/>
    </row>
    <row r="698" spans="2:4" x14ac:dyDescent="0.25">
      <c r="B698" s="13"/>
      <c r="C698" s="13"/>
      <c r="D698" s="29"/>
    </row>
    <row r="699" spans="2:4" x14ac:dyDescent="0.25">
      <c r="B699" s="13"/>
      <c r="C699" s="13"/>
      <c r="D699" s="29"/>
    </row>
    <row r="700" spans="2:4" x14ac:dyDescent="0.25">
      <c r="B700" s="13"/>
      <c r="C700" s="13"/>
      <c r="D700" s="29"/>
    </row>
    <row r="701" spans="2:4" x14ac:dyDescent="0.25">
      <c r="B701" s="13"/>
      <c r="C701" s="13"/>
      <c r="D701" s="29"/>
    </row>
    <row r="702" spans="2:4" x14ac:dyDescent="0.25">
      <c r="B702" s="13"/>
      <c r="C702" s="13"/>
      <c r="D702" s="29"/>
    </row>
    <row r="703" spans="2:4" x14ac:dyDescent="0.25">
      <c r="B703" s="13"/>
      <c r="C703" s="13"/>
      <c r="D703" s="29"/>
    </row>
    <row r="704" spans="2:4" x14ac:dyDescent="0.25">
      <c r="B704" s="13"/>
      <c r="C704" s="13"/>
      <c r="D704" s="29"/>
    </row>
    <row r="705" spans="2:4" x14ac:dyDescent="0.25">
      <c r="B705" s="13"/>
      <c r="C705" s="13"/>
      <c r="D705" s="29"/>
    </row>
    <row r="706" spans="2:4" x14ac:dyDescent="0.25">
      <c r="B706" s="13"/>
      <c r="C706" s="13"/>
      <c r="D706" s="29"/>
    </row>
    <row r="707" spans="2:4" x14ac:dyDescent="0.25">
      <c r="B707" s="13"/>
      <c r="C707" s="13"/>
      <c r="D707" s="29"/>
    </row>
    <row r="708" spans="2:4" x14ac:dyDescent="0.25">
      <c r="B708" s="13"/>
      <c r="C708" s="13"/>
      <c r="D708" s="29"/>
    </row>
    <row r="709" spans="2:4" x14ac:dyDescent="0.25">
      <c r="B709" s="13"/>
      <c r="C709" s="13"/>
      <c r="D709" s="29"/>
    </row>
    <row r="710" spans="2:4" x14ac:dyDescent="0.25">
      <c r="B710" s="13"/>
      <c r="C710" s="13"/>
      <c r="D710" s="29"/>
    </row>
    <row r="711" spans="2:4" x14ac:dyDescent="0.25">
      <c r="B711" s="13"/>
      <c r="C711" s="13"/>
      <c r="D711" s="29"/>
    </row>
    <row r="712" spans="2:4" x14ac:dyDescent="0.25">
      <c r="B712" s="13"/>
      <c r="C712" s="13"/>
      <c r="D712" s="29"/>
    </row>
    <row r="713" spans="2:4" x14ac:dyDescent="0.25">
      <c r="B713" s="13"/>
      <c r="C713" s="13"/>
      <c r="D713" s="29"/>
    </row>
    <row r="714" spans="2:4" x14ac:dyDescent="0.25">
      <c r="B714" s="13"/>
      <c r="C714" s="13"/>
      <c r="D714" s="29"/>
    </row>
    <row r="715" spans="2:4" x14ac:dyDescent="0.25">
      <c r="B715" s="13"/>
      <c r="C715" s="13"/>
      <c r="D715" s="29"/>
    </row>
    <row r="716" spans="2:4" x14ac:dyDescent="0.25">
      <c r="B716" s="13"/>
      <c r="C716" s="13"/>
      <c r="D716" s="29"/>
    </row>
    <row r="717" spans="2:4" x14ac:dyDescent="0.25">
      <c r="B717" s="13"/>
      <c r="C717" s="13"/>
      <c r="D717" s="29"/>
    </row>
    <row r="718" spans="2:4" x14ac:dyDescent="0.25">
      <c r="B718" s="13"/>
      <c r="C718" s="13"/>
      <c r="D718" s="29"/>
    </row>
    <row r="719" spans="2:4" x14ac:dyDescent="0.25">
      <c r="B719" s="13"/>
      <c r="C719" s="13"/>
      <c r="D719" s="29"/>
    </row>
    <row r="720" spans="2:4" x14ac:dyDescent="0.25">
      <c r="B720" s="13"/>
      <c r="C720" s="13"/>
      <c r="D720" s="29"/>
    </row>
    <row r="721" spans="2:4" x14ac:dyDescent="0.25">
      <c r="B721" s="13"/>
      <c r="C721" s="13"/>
      <c r="D721" s="29"/>
    </row>
    <row r="722" spans="2:4" x14ac:dyDescent="0.25">
      <c r="B722" s="13"/>
      <c r="C722" s="13"/>
      <c r="D722" s="29"/>
    </row>
    <row r="723" spans="2:4" x14ac:dyDescent="0.25">
      <c r="B723" s="13"/>
      <c r="C723" s="13"/>
      <c r="D723" s="29"/>
    </row>
    <row r="724" spans="2:4" x14ac:dyDescent="0.25">
      <c r="B724" s="13"/>
      <c r="C724" s="13"/>
      <c r="D724" s="29"/>
    </row>
    <row r="725" spans="2:4" x14ac:dyDescent="0.25">
      <c r="B725" s="13"/>
      <c r="C725" s="13"/>
      <c r="D725" s="29"/>
    </row>
    <row r="726" spans="2:4" x14ac:dyDescent="0.25">
      <c r="B726" s="13"/>
      <c r="C726" s="13"/>
      <c r="D726" s="29"/>
    </row>
    <row r="727" spans="2:4" x14ac:dyDescent="0.25">
      <c r="B727" s="13"/>
      <c r="C727" s="13"/>
      <c r="D727" s="29"/>
    </row>
    <row r="728" spans="2:4" x14ac:dyDescent="0.25">
      <c r="B728" s="13"/>
      <c r="C728" s="13"/>
      <c r="D728" s="29"/>
    </row>
    <row r="729" spans="2:4" x14ac:dyDescent="0.25">
      <c r="B729" s="13"/>
      <c r="C729" s="13"/>
      <c r="D729" s="29"/>
    </row>
    <row r="730" spans="2:4" x14ac:dyDescent="0.25">
      <c r="B730" s="13"/>
      <c r="C730" s="13"/>
      <c r="D730" s="29"/>
    </row>
    <row r="731" spans="2:4" x14ac:dyDescent="0.25">
      <c r="B731" s="13"/>
      <c r="C731" s="13"/>
      <c r="D731" s="29"/>
    </row>
    <row r="732" spans="2:4" x14ac:dyDescent="0.25">
      <c r="B732" s="13"/>
      <c r="C732" s="13"/>
      <c r="D732" s="29"/>
    </row>
    <row r="733" spans="2:4" x14ac:dyDescent="0.25">
      <c r="B733" s="13"/>
      <c r="C733" s="13"/>
      <c r="D733" s="29"/>
    </row>
    <row r="734" spans="2:4" x14ac:dyDescent="0.25">
      <c r="B734" s="13"/>
      <c r="C734" s="13"/>
      <c r="D734" s="29"/>
    </row>
    <row r="735" spans="2:4" x14ac:dyDescent="0.25">
      <c r="B735" s="13"/>
      <c r="C735" s="13"/>
      <c r="D735" s="29"/>
    </row>
    <row r="736" spans="2:4" x14ac:dyDescent="0.25">
      <c r="B736" s="13"/>
      <c r="C736" s="13"/>
      <c r="D736" s="29"/>
    </row>
    <row r="737" spans="2:4" x14ac:dyDescent="0.25">
      <c r="B737" s="13"/>
      <c r="C737" s="13"/>
      <c r="D737" s="29"/>
    </row>
    <row r="738" spans="2:4" x14ac:dyDescent="0.25">
      <c r="B738" s="13"/>
      <c r="C738" s="13"/>
      <c r="D738" s="29"/>
    </row>
    <row r="739" spans="2:4" x14ac:dyDescent="0.25">
      <c r="B739" s="13"/>
      <c r="C739" s="13"/>
      <c r="D739" s="29"/>
    </row>
    <row r="740" spans="2:4" x14ac:dyDescent="0.25">
      <c r="B740" s="13"/>
      <c r="C740" s="13"/>
      <c r="D740" s="29"/>
    </row>
    <row r="741" spans="2:4" x14ac:dyDescent="0.25">
      <c r="B741" s="13"/>
      <c r="C741" s="13"/>
      <c r="D741" s="29"/>
    </row>
    <row r="742" spans="2:4" x14ac:dyDescent="0.25">
      <c r="B742" s="13"/>
      <c r="C742" s="13"/>
      <c r="D742" s="29"/>
    </row>
    <row r="743" spans="2:4" x14ac:dyDescent="0.25">
      <c r="B743" s="13"/>
      <c r="C743" s="13"/>
      <c r="D743" s="29"/>
    </row>
    <row r="744" spans="2:4" x14ac:dyDescent="0.25">
      <c r="B744" s="13"/>
      <c r="C744" s="13"/>
      <c r="D744" s="29"/>
    </row>
    <row r="745" spans="2:4" x14ac:dyDescent="0.25">
      <c r="B745" s="13"/>
      <c r="C745" s="13"/>
      <c r="D745" s="29"/>
    </row>
    <row r="746" spans="2:4" x14ac:dyDescent="0.25">
      <c r="B746" s="13"/>
      <c r="C746" s="13"/>
      <c r="D746" s="29"/>
    </row>
    <row r="747" spans="2:4" x14ac:dyDescent="0.25">
      <c r="B747" s="13"/>
      <c r="C747" s="13"/>
      <c r="D747" s="29"/>
    </row>
    <row r="748" spans="2:4" x14ac:dyDescent="0.25">
      <c r="B748" s="13"/>
      <c r="C748" s="13"/>
      <c r="D748" s="29"/>
    </row>
    <row r="749" spans="2:4" x14ac:dyDescent="0.25">
      <c r="B749" s="13"/>
      <c r="C749" s="13"/>
      <c r="D749" s="29"/>
    </row>
    <row r="750" spans="2:4" x14ac:dyDescent="0.25">
      <c r="B750" s="13"/>
      <c r="C750" s="13"/>
      <c r="D750" s="29"/>
    </row>
    <row r="751" spans="2:4" x14ac:dyDescent="0.25">
      <c r="B751" s="13"/>
      <c r="C751" s="13"/>
      <c r="D751" s="29"/>
    </row>
    <row r="752" spans="2:4" x14ac:dyDescent="0.25">
      <c r="B752" s="13"/>
      <c r="C752" s="13"/>
      <c r="D752" s="29"/>
    </row>
    <row r="753" spans="2:4" x14ac:dyDescent="0.25">
      <c r="B753" s="13"/>
      <c r="C753" s="13"/>
      <c r="D753" s="29"/>
    </row>
    <row r="754" spans="2:4" x14ac:dyDescent="0.25">
      <c r="B754" s="13"/>
      <c r="C754" s="13"/>
      <c r="D754" s="29"/>
    </row>
    <row r="755" spans="2:4" x14ac:dyDescent="0.25">
      <c r="B755" s="13"/>
      <c r="C755" s="13"/>
      <c r="D755" s="29"/>
    </row>
    <row r="756" spans="2:4" x14ac:dyDescent="0.25">
      <c r="B756" s="13"/>
      <c r="C756" s="13"/>
      <c r="D756" s="29"/>
    </row>
    <row r="757" spans="2:4" x14ac:dyDescent="0.25">
      <c r="B757" s="13"/>
      <c r="C757" s="13"/>
      <c r="D757" s="29"/>
    </row>
    <row r="758" spans="2:4" x14ac:dyDescent="0.25">
      <c r="B758" s="13"/>
      <c r="C758" s="13"/>
      <c r="D758" s="29"/>
    </row>
    <row r="759" spans="2:4" x14ac:dyDescent="0.25">
      <c r="B759" s="13"/>
      <c r="C759" s="13"/>
      <c r="D759" s="29"/>
    </row>
    <row r="760" spans="2:4" x14ac:dyDescent="0.25">
      <c r="B760" s="13"/>
      <c r="C760" s="13"/>
      <c r="D760" s="29"/>
    </row>
    <row r="761" spans="2:4" x14ac:dyDescent="0.25">
      <c r="B761" s="13"/>
      <c r="C761" s="13"/>
      <c r="D761" s="29"/>
    </row>
    <row r="762" spans="2:4" x14ac:dyDescent="0.25">
      <c r="B762" s="13"/>
      <c r="C762" s="13"/>
      <c r="D762" s="29"/>
    </row>
    <row r="763" spans="2:4" x14ac:dyDescent="0.25">
      <c r="B763" s="13"/>
      <c r="C763" s="13"/>
      <c r="D763" s="29"/>
    </row>
    <row r="764" spans="2:4" x14ac:dyDescent="0.25">
      <c r="B764" s="13"/>
      <c r="C764" s="13"/>
      <c r="D764" s="29"/>
    </row>
    <row r="765" spans="2:4" x14ac:dyDescent="0.25">
      <c r="B765" s="13"/>
      <c r="C765" s="13"/>
      <c r="D765" s="29"/>
    </row>
    <row r="766" spans="2:4" x14ac:dyDescent="0.25">
      <c r="B766" s="13"/>
      <c r="C766" s="13"/>
      <c r="D766" s="29"/>
    </row>
    <row r="767" spans="2:4" x14ac:dyDescent="0.25">
      <c r="B767" s="13"/>
      <c r="C767" s="13"/>
      <c r="D767" s="29"/>
    </row>
    <row r="768" spans="2:4" x14ac:dyDescent="0.25">
      <c r="B768" s="13"/>
      <c r="C768" s="13"/>
      <c r="D768" s="29"/>
    </row>
    <row r="769" spans="2:4" x14ac:dyDescent="0.25">
      <c r="B769" s="13"/>
      <c r="C769" s="13"/>
      <c r="D769" s="29"/>
    </row>
    <row r="770" spans="2:4" x14ac:dyDescent="0.25">
      <c r="B770" s="13"/>
      <c r="C770" s="13"/>
      <c r="D770" s="29"/>
    </row>
    <row r="771" spans="2:4" x14ac:dyDescent="0.25">
      <c r="B771" s="13"/>
      <c r="C771" s="13"/>
      <c r="D771" s="29"/>
    </row>
    <row r="772" spans="2:4" x14ac:dyDescent="0.25">
      <c r="B772" s="13"/>
      <c r="C772" s="13"/>
      <c r="D772" s="29"/>
    </row>
    <row r="773" spans="2:4" x14ac:dyDescent="0.25">
      <c r="B773" s="13"/>
      <c r="C773" s="13"/>
      <c r="D773" s="29"/>
    </row>
    <row r="774" spans="2:4" x14ac:dyDescent="0.25">
      <c r="B774" s="13"/>
      <c r="C774" s="13"/>
      <c r="D774" s="29"/>
    </row>
    <row r="775" spans="2:4" x14ac:dyDescent="0.25">
      <c r="B775" s="13"/>
      <c r="C775" s="13"/>
      <c r="D775" s="29"/>
    </row>
    <row r="776" spans="2:4" x14ac:dyDescent="0.25">
      <c r="B776" s="13"/>
      <c r="C776" s="13"/>
      <c r="D776" s="29"/>
    </row>
    <row r="777" spans="2:4" x14ac:dyDescent="0.25">
      <c r="B777" s="13"/>
      <c r="C777" s="13"/>
      <c r="D777" s="29"/>
    </row>
    <row r="778" spans="2:4" x14ac:dyDescent="0.25">
      <c r="B778" s="13"/>
      <c r="C778" s="13"/>
      <c r="D778" s="29"/>
    </row>
    <row r="779" spans="2:4" x14ac:dyDescent="0.25">
      <c r="B779" s="13"/>
      <c r="C779" s="13"/>
      <c r="D779" s="29"/>
    </row>
    <row r="780" spans="2:4" x14ac:dyDescent="0.25">
      <c r="B780" s="13"/>
      <c r="C780" s="13"/>
      <c r="D780" s="29"/>
    </row>
    <row r="781" spans="2:4" x14ac:dyDescent="0.25">
      <c r="B781" s="13"/>
      <c r="C781" s="13"/>
      <c r="D781" s="29"/>
    </row>
    <row r="782" spans="2:4" x14ac:dyDescent="0.25">
      <c r="B782" s="13"/>
      <c r="C782" s="13"/>
      <c r="D782" s="29"/>
    </row>
    <row r="783" spans="2:4" x14ac:dyDescent="0.25">
      <c r="B783" s="13"/>
      <c r="C783" s="13"/>
      <c r="D783" s="29"/>
    </row>
    <row r="784" spans="2:4" x14ac:dyDescent="0.25">
      <c r="B784" s="13"/>
      <c r="C784" s="13"/>
      <c r="D784" s="29"/>
    </row>
    <row r="785" spans="2:4" x14ac:dyDescent="0.25">
      <c r="B785" s="13"/>
      <c r="C785" s="13"/>
      <c r="D785" s="29"/>
    </row>
    <row r="786" spans="2:4" x14ac:dyDescent="0.25">
      <c r="B786" s="13"/>
      <c r="C786" s="13"/>
      <c r="D786" s="29"/>
    </row>
    <row r="787" spans="2:4" x14ac:dyDescent="0.25">
      <c r="B787" s="13"/>
      <c r="C787" s="13"/>
      <c r="D787" s="29"/>
    </row>
    <row r="788" spans="2:4" x14ac:dyDescent="0.25">
      <c r="B788" s="13"/>
      <c r="C788" s="13"/>
      <c r="D788" s="29"/>
    </row>
    <row r="789" spans="2:4" x14ac:dyDescent="0.25">
      <c r="B789" s="13"/>
      <c r="C789" s="13"/>
      <c r="D789" s="29"/>
    </row>
    <row r="790" spans="2:4" x14ac:dyDescent="0.25">
      <c r="B790" s="13"/>
      <c r="C790" s="13"/>
      <c r="D790" s="29"/>
    </row>
    <row r="791" spans="2:4" x14ac:dyDescent="0.25">
      <c r="B791" s="13"/>
      <c r="C791" s="13"/>
      <c r="D791" s="29"/>
    </row>
    <row r="792" spans="2:4" x14ac:dyDescent="0.25">
      <c r="B792" s="13"/>
      <c r="C792" s="13"/>
      <c r="D792" s="29"/>
    </row>
    <row r="793" spans="2:4" x14ac:dyDescent="0.25">
      <c r="B793" s="13"/>
      <c r="C793" s="13"/>
      <c r="D793" s="29"/>
    </row>
    <row r="794" spans="2:4" x14ac:dyDescent="0.25">
      <c r="B794" s="13"/>
      <c r="C794" s="13"/>
      <c r="D794" s="29"/>
    </row>
    <row r="795" spans="2:4" x14ac:dyDescent="0.25">
      <c r="B795" s="13"/>
      <c r="C795" s="13"/>
      <c r="D795" s="29"/>
    </row>
    <row r="796" spans="2:4" x14ac:dyDescent="0.25">
      <c r="B796" s="13"/>
      <c r="C796" s="13"/>
      <c r="D796" s="29"/>
    </row>
    <row r="797" spans="2:4" x14ac:dyDescent="0.25">
      <c r="B797" s="13"/>
      <c r="C797" s="13"/>
      <c r="D797" s="29"/>
    </row>
    <row r="798" spans="2:4" x14ac:dyDescent="0.25">
      <c r="B798" s="13"/>
      <c r="C798" s="13"/>
      <c r="D798" s="29"/>
    </row>
    <row r="799" spans="2:4" x14ac:dyDescent="0.25">
      <c r="B799" s="13"/>
      <c r="C799" s="13"/>
      <c r="D799" s="29"/>
    </row>
    <row r="800" spans="2:4" x14ac:dyDescent="0.25">
      <c r="B800" s="13"/>
      <c r="C800" s="13"/>
      <c r="D800" s="29"/>
    </row>
    <row r="801" spans="2:4" x14ac:dyDescent="0.25">
      <c r="B801" s="13"/>
      <c r="C801" s="13"/>
      <c r="D801" s="29"/>
    </row>
    <row r="802" spans="2:4" x14ac:dyDescent="0.25">
      <c r="B802" s="13"/>
      <c r="C802" s="13"/>
      <c r="D802" s="29"/>
    </row>
    <row r="803" spans="2:4" x14ac:dyDescent="0.25">
      <c r="B803" s="13"/>
      <c r="C803" s="13"/>
      <c r="D803" s="29"/>
    </row>
    <row r="804" spans="2:4" x14ac:dyDescent="0.25">
      <c r="B804" s="13"/>
      <c r="C804" s="13"/>
      <c r="D804" s="29"/>
    </row>
    <row r="805" spans="2:4" x14ac:dyDescent="0.25">
      <c r="B805" s="13"/>
      <c r="C805" s="13"/>
      <c r="D805" s="29"/>
    </row>
    <row r="806" spans="2:4" x14ac:dyDescent="0.25">
      <c r="B806" s="13"/>
      <c r="C806" s="13"/>
      <c r="D806" s="29"/>
    </row>
    <row r="807" spans="2:4" x14ac:dyDescent="0.25">
      <c r="B807" s="13"/>
      <c r="C807" s="13"/>
      <c r="D807" s="29"/>
    </row>
    <row r="808" spans="2:4" x14ac:dyDescent="0.25">
      <c r="B808" s="13"/>
      <c r="C808" s="13"/>
      <c r="D808" s="29"/>
    </row>
    <row r="809" spans="2:4" x14ac:dyDescent="0.25">
      <c r="B809" s="13"/>
      <c r="C809" s="13"/>
      <c r="D809" s="29"/>
    </row>
    <row r="810" spans="2:4" x14ac:dyDescent="0.25">
      <c r="B810" s="13"/>
      <c r="C810" s="13"/>
      <c r="D810" s="29"/>
    </row>
    <row r="811" spans="2:4" x14ac:dyDescent="0.25">
      <c r="B811" s="13"/>
      <c r="C811" s="13"/>
      <c r="D811" s="29"/>
    </row>
    <row r="812" spans="2:4" x14ac:dyDescent="0.25">
      <c r="B812" s="13"/>
      <c r="C812" s="13"/>
      <c r="D812" s="29"/>
    </row>
    <row r="813" spans="2:4" x14ac:dyDescent="0.25">
      <c r="B813" s="13"/>
      <c r="C813" s="13"/>
      <c r="D813" s="29"/>
    </row>
    <row r="814" spans="2:4" x14ac:dyDescent="0.25">
      <c r="B814" s="13"/>
      <c r="C814" s="13"/>
      <c r="D814" s="29"/>
    </row>
    <row r="815" spans="2:4" x14ac:dyDescent="0.25">
      <c r="B815" s="13"/>
      <c r="C815" s="13"/>
      <c r="D815" s="29"/>
    </row>
    <row r="816" spans="2:4" x14ac:dyDescent="0.25">
      <c r="B816" s="13"/>
      <c r="C816" s="13"/>
      <c r="D816" s="29"/>
    </row>
    <row r="817" spans="2:4" x14ac:dyDescent="0.25">
      <c r="B817" s="13"/>
      <c r="C817" s="13"/>
      <c r="D817" s="29"/>
    </row>
    <row r="818" spans="2:4" x14ac:dyDescent="0.25">
      <c r="B818" s="13"/>
      <c r="C818" s="13"/>
      <c r="D818" s="29"/>
    </row>
    <row r="819" spans="2:4" x14ac:dyDescent="0.25">
      <c r="B819" s="13"/>
      <c r="C819" s="13"/>
      <c r="D819" s="29"/>
    </row>
    <row r="820" spans="2:4" x14ac:dyDescent="0.25">
      <c r="B820" s="13"/>
      <c r="C820" s="13"/>
      <c r="D820" s="29"/>
    </row>
    <row r="821" spans="2:4" x14ac:dyDescent="0.25">
      <c r="B821" s="13"/>
      <c r="C821" s="13"/>
      <c r="D821" s="29"/>
    </row>
    <row r="822" spans="2:4" x14ac:dyDescent="0.25">
      <c r="B822" s="13"/>
      <c r="C822" s="13"/>
      <c r="D822" s="29"/>
    </row>
    <row r="823" spans="2:4" x14ac:dyDescent="0.25">
      <c r="B823" s="13"/>
      <c r="C823" s="13"/>
      <c r="D823" s="29"/>
    </row>
    <row r="824" spans="2:4" x14ac:dyDescent="0.25">
      <c r="B824" s="13"/>
      <c r="C824" s="13"/>
      <c r="D824" s="29"/>
    </row>
    <row r="825" spans="2:4" x14ac:dyDescent="0.25">
      <c r="B825" s="13"/>
      <c r="C825" s="13"/>
      <c r="D825" s="29"/>
    </row>
    <row r="826" spans="2:4" x14ac:dyDescent="0.25">
      <c r="B826" s="13"/>
      <c r="C826" s="13"/>
      <c r="D826" s="29"/>
    </row>
    <row r="827" spans="2:4" x14ac:dyDescent="0.25">
      <c r="B827" s="13"/>
      <c r="C827" s="13"/>
      <c r="D827" s="29"/>
    </row>
    <row r="828" spans="2:4" x14ac:dyDescent="0.25">
      <c r="B828" s="13"/>
      <c r="C828" s="13"/>
      <c r="D828" s="29"/>
    </row>
    <row r="829" spans="2:4" x14ac:dyDescent="0.25">
      <c r="B829" s="13"/>
      <c r="C829" s="13"/>
      <c r="D829" s="29"/>
    </row>
    <row r="830" spans="2:4" x14ac:dyDescent="0.25">
      <c r="B830" s="13"/>
      <c r="C830" s="13"/>
      <c r="D830" s="29"/>
    </row>
    <row r="831" spans="2:4" x14ac:dyDescent="0.25">
      <c r="B831" s="13"/>
      <c r="C831" s="13"/>
      <c r="D831" s="29"/>
    </row>
    <row r="832" spans="2:4" x14ac:dyDescent="0.25">
      <c r="B832" s="13"/>
      <c r="C832" s="13"/>
      <c r="D832" s="29"/>
    </row>
    <row r="833" spans="2:4" x14ac:dyDescent="0.25">
      <c r="B833" s="13"/>
      <c r="C833" s="13"/>
      <c r="D833" s="29"/>
    </row>
    <row r="834" spans="2:4" x14ac:dyDescent="0.25">
      <c r="B834" s="13"/>
      <c r="C834" s="13"/>
      <c r="D834" s="29"/>
    </row>
    <row r="835" spans="2:4" x14ac:dyDescent="0.25">
      <c r="B835" s="13"/>
      <c r="C835" s="13"/>
      <c r="D835" s="29"/>
    </row>
    <row r="836" spans="2:4" x14ac:dyDescent="0.25">
      <c r="B836" s="13"/>
      <c r="C836" s="13"/>
      <c r="D836" s="29"/>
    </row>
    <row r="837" spans="2:4" x14ac:dyDescent="0.25">
      <c r="B837" s="13"/>
      <c r="C837" s="13"/>
      <c r="D837" s="29"/>
    </row>
    <row r="838" spans="2:4" x14ac:dyDescent="0.25">
      <c r="B838" s="13"/>
      <c r="C838" s="13"/>
      <c r="D838" s="29"/>
    </row>
    <row r="839" spans="2:4" x14ac:dyDescent="0.25">
      <c r="B839" s="13"/>
      <c r="C839" s="13"/>
      <c r="D839" s="29"/>
    </row>
    <row r="840" spans="2:4" x14ac:dyDescent="0.25">
      <c r="B840" s="13"/>
      <c r="C840" s="13"/>
      <c r="D840" s="29"/>
    </row>
    <row r="841" spans="2:4" x14ac:dyDescent="0.25">
      <c r="B841" s="13"/>
      <c r="C841" s="13"/>
      <c r="D841" s="29"/>
    </row>
    <row r="842" spans="2:4" x14ac:dyDescent="0.25">
      <c r="B842" s="13"/>
      <c r="C842" s="13"/>
      <c r="D842" s="29"/>
    </row>
    <row r="843" spans="2:4" x14ac:dyDescent="0.25">
      <c r="B843" s="13"/>
      <c r="C843" s="13"/>
      <c r="D843" s="29"/>
    </row>
    <row r="844" spans="2:4" x14ac:dyDescent="0.25">
      <c r="B844" s="13"/>
      <c r="C844" s="13"/>
      <c r="D844" s="29"/>
    </row>
    <row r="845" spans="2:4" x14ac:dyDescent="0.25">
      <c r="B845" s="13"/>
      <c r="C845" s="13"/>
      <c r="D845" s="29"/>
    </row>
    <row r="846" spans="2:4" x14ac:dyDescent="0.25">
      <c r="B846" s="13"/>
      <c r="C846" s="13"/>
      <c r="D846" s="29"/>
    </row>
    <row r="847" spans="2:4" x14ac:dyDescent="0.25">
      <c r="B847" s="13"/>
      <c r="C847" s="13"/>
      <c r="D847" s="29"/>
    </row>
    <row r="848" spans="2:4" x14ac:dyDescent="0.25">
      <c r="B848" s="13"/>
      <c r="C848" s="13"/>
      <c r="D848" s="29"/>
    </row>
    <row r="849" spans="2:4" x14ac:dyDescent="0.25">
      <c r="B849" s="13"/>
      <c r="C849" s="13"/>
      <c r="D849" s="29"/>
    </row>
    <row r="850" spans="2:4" x14ac:dyDescent="0.25">
      <c r="B850" s="13"/>
      <c r="C850" s="13"/>
      <c r="D850" s="29"/>
    </row>
    <row r="851" spans="2:4" x14ac:dyDescent="0.25">
      <c r="B851" s="13"/>
      <c r="C851" s="13"/>
      <c r="D851" s="29"/>
    </row>
    <row r="852" spans="2:4" x14ac:dyDescent="0.25">
      <c r="B852" s="13"/>
      <c r="C852" s="13"/>
      <c r="D852" s="29"/>
    </row>
    <row r="853" spans="2:4" x14ac:dyDescent="0.25">
      <c r="B853" s="13"/>
      <c r="C853" s="13"/>
      <c r="D853" s="29"/>
    </row>
    <row r="854" spans="2:4" x14ac:dyDescent="0.25">
      <c r="B854" s="13"/>
      <c r="C854" s="13"/>
      <c r="D854" s="29"/>
    </row>
    <row r="855" spans="2:4" x14ac:dyDescent="0.25">
      <c r="B855" s="13"/>
      <c r="C855" s="13"/>
      <c r="D855" s="29"/>
    </row>
    <row r="856" spans="2:4" x14ac:dyDescent="0.25">
      <c r="B856" s="13"/>
      <c r="C856" s="13"/>
      <c r="D856" s="29"/>
    </row>
    <row r="857" spans="2:4" x14ac:dyDescent="0.25">
      <c r="B857" s="13"/>
      <c r="C857" s="13"/>
      <c r="D857" s="29"/>
    </row>
    <row r="858" spans="2:4" x14ac:dyDescent="0.25">
      <c r="B858" s="13"/>
      <c r="C858" s="13"/>
      <c r="D858" s="29"/>
    </row>
    <row r="859" spans="2:4" x14ac:dyDescent="0.25">
      <c r="B859" s="13"/>
      <c r="C859" s="13"/>
      <c r="D859" s="29"/>
    </row>
    <row r="860" spans="2:4" x14ac:dyDescent="0.25">
      <c r="B860" s="13"/>
      <c r="C860" s="13"/>
      <c r="D860" s="29"/>
    </row>
    <row r="861" spans="2:4" x14ac:dyDescent="0.25">
      <c r="B861" s="13"/>
      <c r="C861" s="13"/>
      <c r="D861" s="29"/>
    </row>
    <row r="862" spans="2:4" x14ac:dyDescent="0.25">
      <c r="B862" s="13"/>
      <c r="C862" s="13"/>
      <c r="D862" s="29"/>
    </row>
    <row r="863" spans="2:4" x14ac:dyDescent="0.25">
      <c r="B863" s="13"/>
      <c r="C863" s="13"/>
      <c r="D863" s="29"/>
    </row>
    <row r="864" spans="2:4" x14ac:dyDescent="0.25">
      <c r="B864" s="13"/>
      <c r="C864" s="13"/>
      <c r="D864" s="29"/>
    </row>
    <row r="865" spans="2:4" x14ac:dyDescent="0.25">
      <c r="B865" s="13"/>
      <c r="C865" s="13"/>
      <c r="D865" s="29"/>
    </row>
    <row r="866" spans="2:4" x14ac:dyDescent="0.25">
      <c r="B866" s="13"/>
      <c r="C866" s="13"/>
      <c r="D866" s="29"/>
    </row>
    <row r="867" spans="2:4" x14ac:dyDescent="0.25">
      <c r="B867" s="13"/>
      <c r="C867" s="13"/>
      <c r="D867" s="29"/>
    </row>
    <row r="868" spans="2:4" x14ac:dyDescent="0.25">
      <c r="B868" s="13"/>
      <c r="C868" s="13"/>
      <c r="D868" s="29"/>
    </row>
    <row r="869" spans="2:4" x14ac:dyDescent="0.25">
      <c r="B869" s="13"/>
      <c r="C869" s="13"/>
      <c r="D869" s="29"/>
    </row>
    <row r="870" spans="2:4" x14ac:dyDescent="0.25">
      <c r="B870" s="13"/>
      <c r="C870" s="13"/>
      <c r="D870" s="29"/>
    </row>
    <row r="871" spans="2:4" x14ac:dyDescent="0.25">
      <c r="B871" s="13"/>
      <c r="C871" s="13"/>
      <c r="D871" s="29"/>
    </row>
    <row r="872" spans="2:4" x14ac:dyDescent="0.25">
      <c r="B872" s="13"/>
      <c r="C872" s="13"/>
      <c r="D872" s="29"/>
    </row>
    <row r="873" spans="2:4" x14ac:dyDescent="0.25">
      <c r="B873" s="13"/>
      <c r="C873" s="13"/>
      <c r="D873" s="29"/>
    </row>
    <row r="874" spans="2:4" x14ac:dyDescent="0.25">
      <c r="B874" s="13"/>
      <c r="C874" s="13"/>
      <c r="D874" s="29"/>
    </row>
    <row r="875" spans="2:4" x14ac:dyDescent="0.25">
      <c r="B875" s="13"/>
      <c r="C875" s="13"/>
      <c r="D875" s="29"/>
    </row>
    <row r="876" spans="2:4" x14ac:dyDescent="0.25">
      <c r="B876" s="13"/>
      <c r="C876" s="13"/>
      <c r="D876" s="29"/>
    </row>
    <row r="877" spans="2:4" x14ac:dyDescent="0.25">
      <c r="B877" s="13"/>
      <c r="C877" s="13"/>
      <c r="D877" s="29"/>
    </row>
    <row r="878" spans="2:4" x14ac:dyDescent="0.25">
      <c r="B878" s="13"/>
      <c r="C878" s="13"/>
      <c r="D878" s="29"/>
    </row>
    <row r="879" spans="2:4" x14ac:dyDescent="0.25">
      <c r="B879" s="13"/>
      <c r="C879" s="13"/>
      <c r="D879" s="29"/>
    </row>
    <row r="880" spans="2:4" x14ac:dyDescent="0.25">
      <c r="B880" s="13"/>
      <c r="C880" s="13"/>
      <c r="D880" s="29"/>
    </row>
    <row r="881" spans="2:4" x14ac:dyDescent="0.25">
      <c r="B881" s="13"/>
      <c r="C881" s="13"/>
      <c r="D881" s="29"/>
    </row>
    <row r="882" spans="2:4" x14ac:dyDescent="0.25">
      <c r="B882" s="13"/>
      <c r="C882" s="13"/>
      <c r="D882" s="29"/>
    </row>
    <row r="883" spans="2:4" x14ac:dyDescent="0.25">
      <c r="B883" s="13"/>
      <c r="C883" s="13"/>
      <c r="D883" s="29"/>
    </row>
    <row r="884" spans="2:4" x14ac:dyDescent="0.25">
      <c r="B884" s="13"/>
      <c r="C884" s="13"/>
      <c r="D884" s="29"/>
    </row>
    <row r="885" spans="2:4" x14ac:dyDescent="0.25">
      <c r="B885" s="13"/>
      <c r="C885" s="13"/>
      <c r="D885" s="29"/>
    </row>
    <row r="886" spans="2:4" x14ac:dyDescent="0.25">
      <c r="B886" s="13"/>
      <c r="C886" s="13"/>
      <c r="D886" s="29"/>
    </row>
    <row r="887" spans="2:4" x14ac:dyDescent="0.25">
      <c r="B887" s="13"/>
      <c r="C887" s="13"/>
      <c r="D887" s="29"/>
    </row>
    <row r="888" spans="2:4" x14ac:dyDescent="0.25">
      <c r="B888" s="13"/>
      <c r="C888" s="13"/>
      <c r="D888" s="29"/>
    </row>
    <row r="889" spans="2:4" x14ac:dyDescent="0.25">
      <c r="B889" s="13"/>
      <c r="C889" s="13"/>
      <c r="D889" s="29"/>
    </row>
    <row r="890" spans="2:4" x14ac:dyDescent="0.25">
      <c r="B890" s="13"/>
      <c r="C890" s="13"/>
      <c r="D890" s="29"/>
    </row>
    <row r="891" spans="2:4" x14ac:dyDescent="0.25">
      <c r="B891" s="13"/>
      <c r="C891" s="13"/>
      <c r="D891" s="29"/>
    </row>
    <row r="892" spans="2:4" x14ac:dyDescent="0.25">
      <c r="B892" s="13"/>
      <c r="C892" s="13"/>
      <c r="D892" s="29"/>
    </row>
    <row r="893" spans="2:4" x14ac:dyDescent="0.25">
      <c r="B893" s="13"/>
      <c r="C893" s="13"/>
      <c r="D893" s="29"/>
    </row>
    <row r="894" spans="2:4" x14ac:dyDescent="0.25">
      <c r="B894" s="13"/>
      <c r="C894" s="13"/>
      <c r="D894" s="29"/>
    </row>
    <row r="895" spans="2:4" x14ac:dyDescent="0.25">
      <c r="B895" s="13"/>
      <c r="C895" s="13"/>
      <c r="D895" s="29"/>
    </row>
    <row r="896" spans="2:4" x14ac:dyDescent="0.25">
      <c r="B896" s="13"/>
      <c r="C896" s="13"/>
      <c r="D896" s="29"/>
    </row>
    <row r="897" spans="2:4" x14ac:dyDescent="0.25">
      <c r="B897" s="13"/>
      <c r="C897" s="13"/>
      <c r="D897" s="29"/>
    </row>
    <row r="898" spans="2:4" x14ac:dyDescent="0.25">
      <c r="B898" s="13"/>
      <c r="C898" s="13"/>
      <c r="D898" s="29"/>
    </row>
    <row r="899" spans="2:4" x14ac:dyDescent="0.25">
      <c r="B899" s="13"/>
      <c r="C899" s="13"/>
      <c r="D899" s="29"/>
    </row>
    <row r="900" spans="2:4" x14ac:dyDescent="0.25">
      <c r="B900" s="13"/>
      <c r="C900" s="13"/>
      <c r="D900" s="29"/>
    </row>
    <row r="901" spans="2:4" x14ac:dyDescent="0.25">
      <c r="B901" s="13"/>
      <c r="C901" s="13"/>
      <c r="D901" s="29"/>
    </row>
    <row r="902" spans="2:4" x14ac:dyDescent="0.25">
      <c r="B902" s="13"/>
      <c r="C902" s="13"/>
      <c r="D902" s="29"/>
    </row>
    <row r="903" spans="2:4" x14ac:dyDescent="0.25">
      <c r="B903" s="13"/>
      <c r="C903" s="13"/>
      <c r="D903" s="29"/>
    </row>
    <row r="904" spans="2:4" x14ac:dyDescent="0.25">
      <c r="B904" s="13"/>
      <c r="C904" s="13"/>
      <c r="D904" s="29"/>
    </row>
    <row r="905" spans="2:4" x14ac:dyDescent="0.25">
      <c r="B905" s="13"/>
      <c r="C905" s="13"/>
      <c r="D905" s="29"/>
    </row>
    <row r="906" spans="2:4" x14ac:dyDescent="0.25">
      <c r="B906" s="13"/>
      <c r="C906" s="13"/>
      <c r="D906" s="29"/>
    </row>
    <row r="907" spans="2:4" x14ac:dyDescent="0.25">
      <c r="B907" s="13"/>
      <c r="C907" s="13"/>
      <c r="D907" s="29"/>
    </row>
    <row r="908" spans="2:4" x14ac:dyDescent="0.25">
      <c r="B908" s="13"/>
      <c r="C908" s="13"/>
      <c r="D908" s="29"/>
    </row>
    <row r="909" spans="2:4" x14ac:dyDescent="0.25">
      <c r="B909" s="13"/>
      <c r="C909" s="13"/>
      <c r="D909" s="29"/>
    </row>
    <row r="910" spans="2:4" x14ac:dyDescent="0.25">
      <c r="B910" s="13"/>
      <c r="C910" s="13"/>
      <c r="D910" s="29"/>
    </row>
    <row r="911" spans="2:4" x14ac:dyDescent="0.25">
      <c r="B911" s="13"/>
      <c r="C911" s="13"/>
      <c r="D911" s="29"/>
    </row>
    <row r="912" spans="2:4" x14ac:dyDescent="0.25">
      <c r="B912" s="13"/>
      <c r="C912" s="13"/>
      <c r="D912" s="29"/>
    </row>
    <row r="913" spans="2:4" x14ac:dyDescent="0.25">
      <c r="B913" s="13"/>
      <c r="C913" s="13"/>
      <c r="D913" s="29"/>
    </row>
    <row r="914" spans="2:4" x14ac:dyDescent="0.25">
      <c r="B914" s="13"/>
      <c r="C914" s="13"/>
      <c r="D914" s="29"/>
    </row>
    <row r="915" spans="2:4" x14ac:dyDescent="0.25">
      <c r="B915" s="13"/>
      <c r="C915" s="13"/>
      <c r="D915" s="29"/>
    </row>
    <row r="916" spans="2:4" x14ac:dyDescent="0.25">
      <c r="B916" s="13"/>
      <c r="C916" s="13"/>
      <c r="D916" s="29"/>
    </row>
    <row r="917" spans="2:4" x14ac:dyDescent="0.25">
      <c r="B917" s="13"/>
      <c r="C917" s="13"/>
      <c r="D917" s="29"/>
    </row>
    <row r="918" spans="2:4" x14ac:dyDescent="0.25">
      <c r="B918" s="13"/>
      <c r="C918" s="13"/>
      <c r="D918" s="29"/>
    </row>
    <row r="919" spans="2:4" x14ac:dyDescent="0.25">
      <c r="B919" s="13"/>
      <c r="C919" s="13"/>
      <c r="D919" s="29"/>
    </row>
    <row r="920" spans="2:4" x14ac:dyDescent="0.25">
      <c r="B920" s="13"/>
      <c r="C920" s="13"/>
      <c r="D920" s="29"/>
    </row>
    <row r="921" spans="2:4" x14ac:dyDescent="0.25">
      <c r="B921" s="13"/>
      <c r="C921" s="13"/>
      <c r="D921" s="29"/>
    </row>
    <row r="922" spans="2:4" x14ac:dyDescent="0.25">
      <c r="B922" s="13"/>
      <c r="C922" s="13"/>
      <c r="D922" s="29"/>
    </row>
    <row r="923" spans="2:4" x14ac:dyDescent="0.25">
      <c r="B923" s="13"/>
      <c r="C923" s="13"/>
      <c r="D923" s="29"/>
    </row>
    <row r="924" spans="2:4" x14ac:dyDescent="0.25">
      <c r="B924" s="13"/>
      <c r="C924" s="13"/>
      <c r="D924" s="29"/>
    </row>
    <row r="925" spans="2:4" x14ac:dyDescent="0.25">
      <c r="B925" s="13"/>
      <c r="C925" s="13"/>
      <c r="D925" s="29"/>
    </row>
    <row r="926" spans="2:4" x14ac:dyDescent="0.25">
      <c r="B926" s="13"/>
      <c r="C926" s="13"/>
      <c r="D926" s="29"/>
    </row>
    <row r="927" spans="2:4" x14ac:dyDescent="0.25">
      <c r="B927" s="13"/>
      <c r="C927" s="13"/>
      <c r="D927" s="29"/>
    </row>
    <row r="928" spans="2:4" x14ac:dyDescent="0.25">
      <c r="B928" s="13"/>
      <c r="C928" s="13"/>
      <c r="D928" s="29"/>
    </row>
    <row r="929" spans="2:4" x14ac:dyDescent="0.25">
      <c r="B929" s="13"/>
      <c r="C929" s="13"/>
      <c r="D929" s="29"/>
    </row>
    <row r="930" spans="2:4" x14ac:dyDescent="0.25">
      <c r="B930" s="13"/>
      <c r="C930" s="13"/>
      <c r="D930" s="29"/>
    </row>
    <row r="931" spans="2:4" x14ac:dyDescent="0.25">
      <c r="B931" s="13"/>
      <c r="C931" s="13"/>
      <c r="D931" s="29"/>
    </row>
    <row r="932" spans="2:4" x14ac:dyDescent="0.25">
      <c r="B932" s="13"/>
      <c r="C932" s="13"/>
      <c r="D932" s="29"/>
    </row>
    <row r="933" spans="2:4" x14ac:dyDescent="0.25">
      <c r="B933" s="13"/>
      <c r="C933" s="13"/>
      <c r="D933" s="29"/>
    </row>
    <row r="934" spans="2:4" x14ac:dyDescent="0.25">
      <c r="B934" s="13"/>
      <c r="C934" s="13"/>
      <c r="D934" s="29"/>
    </row>
    <row r="935" spans="2:4" x14ac:dyDescent="0.25">
      <c r="B935" s="13"/>
      <c r="C935" s="13"/>
      <c r="D935" s="29"/>
    </row>
    <row r="936" spans="2:4" x14ac:dyDescent="0.25">
      <c r="B936" s="13"/>
      <c r="C936" s="13"/>
      <c r="D936" s="29"/>
    </row>
    <row r="937" spans="2:4" x14ac:dyDescent="0.25">
      <c r="B937" s="13"/>
      <c r="C937" s="13"/>
      <c r="D937" s="29"/>
    </row>
    <row r="938" spans="2:4" x14ac:dyDescent="0.25">
      <c r="B938" s="13"/>
      <c r="C938" s="13"/>
      <c r="D938" s="29"/>
    </row>
    <row r="939" spans="2:4" x14ac:dyDescent="0.25">
      <c r="B939" s="13"/>
      <c r="C939" s="13"/>
      <c r="D939" s="29"/>
    </row>
    <row r="940" spans="2:4" x14ac:dyDescent="0.25">
      <c r="B940" s="13"/>
      <c r="C940" s="13"/>
      <c r="D940" s="29"/>
    </row>
    <row r="941" spans="2:4" x14ac:dyDescent="0.25">
      <c r="B941" s="13"/>
      <c r="C941" s="13"/>
      <c r="D941" s="29"/>
    </row>
    <row r="942" spans="2:4" x14ac:dyDescent="0.25">
      <c r="B942" s="13"/>
      <c r="C942" s="13"/>
      <c r="D942" s="29"/>
    </row>
    <row r="943" spans="2:4" x14ac:dyDescent="0.25">
      <c r="B943" s="13"/>
      <c r="C943" s="13"/>
      <c r="D943" s="29"/>
    </row>
    <row r="944" spans="2:4" x14ac:dyDescent="0.25">
      <c r="B944" s="13"/>
      <c r="C944" s="13"/>
      <c r="D944" s="29"/>
    </row>
    <row r="945" spans="2:4" x14ac:dyDescent="0.25">
      <c r="B945" s="13"/>
      <c r="C945" s="13"/>
      <c r="D945" s="29"/>
    </row>
    <row r="946" spans="2:4" x14ac:dyDescent="0.25">
      <c r="B946" s="13"/>
      <c r="C946" s="13"/>
      <c r="D946" s="29"/>
    </row>
    <row r="947" spans="2:4" x14ac:dyDescent="0.25">
      <c r="B947" s="13"/>
      <c r="C947" s="13"/>
      <c r="D947" s="29"/>
    </row>
    <row r="948" spans="2:4" x14ac:dyDescent="0.25">
      <c r="B948" s="13"/>
      <c r="C948" s="13"/>
      <c r="D948" s="29"/>
    </row>
    <row r="949" spans="2:4" x14ac:dyDescent="0.25">
      <c r="B949" s="13"/>
      <c r="C949" s="13"/>
      <c r="D949" s="29"/>
    </row>
    <row r="950" spans="2:4" x14ac:dyDescent="0.25">
      <c r="B950" s="13"/>
      <c r="C950" s="13"/>
      <c r="D950" s="29"/>
    </row>
    <row r="951" spans="2:4" x14ac:dyDescent="0.25">
      <c r="B951" s="13"/>
      <c r="C951" s="13"/>
      <c r="D951" s="29"/>
    </row>
    <row r="952" spans="2:4" x14ac:dyDescent="0.25">
      <c r="B952" s="13"/>
      <c r="C952" s="13"/>
      <c r="D952" s="29"/>
    </row>
    <row r="953" spans="2:4" x14ac:dyDescent="0.25">
      <c r="B953" s="13"/>
      <c r="C953" s="13"/>
      <c r="D953" s="29"/>
    </row>
    <row r="954" spans="2:4" x14ac:dyDescent="0.25">
      <c r="B954" s="13"/>
      <c r="C954" s="13"/>
      <c r="D954" s="29"/>
    </row>
    <row r="955" spans="2:4" x14ac:dyDescent="0.25">
      <c r="B955" s="13"/>
      <c r="C955" s="13"/>
      <c r="D955" s="29"/>
    </row>
    <row r="956" spans="2:4" x14ac:dyDescent="0.25">
      <c r="B956" s="13"/>
      <c r="C956" s="13"/>
      <c r="D956" s="29"/>
    </row>
    <row r="957" spans="2:4" x14ac:dyDescent="0.25">
      <c r="B957" s="13"/>
      <c r="C957" s="13"/>
      <c r="D957" s="29"/>
    </row>
    <row r="958" spans="2:4" x14ac:dyDescent="0.25">
      <c r="B958" s="13"/>
      <c r="C958" s="13"/>
      <c r="D958" s="29"/>
    </row>
    <row r="959" spans="2:4" x14ac:dyDescent="0.25">
      <c r="B959" s="13"/>
      <c r="C959" s="13"/>
      <c r="D959" s="29"/>
    </row>
    <row r="960" spans="2:4" x14ac:dyDescent="0.25">
      <c r="B960" s="13"/>
      <c r="C960" s="13"/>
      <c r="D960" s="29"/>
    </row>
    <row r="961" spans="2:4" x14ac:dyDescent="0.25">
      <c r="B961" s="13"/>
      <c r="C961" s="13"/>
      <c r="D961" s="29"/>
    </row>
    <row r="962" spans="2:4" x14ac:dyDescent="0.25">
      <c r="B962" s="13"/>
      <c r="C962" s="13"/>
      <c r="D962" s="29"/>
    </row>
    <row r="963" spans="2:4" x14ac:dyDescent="0.25">
      <c r="B963" s="13"/>
      <c r="C963" s="13"/>
      <c r="D963" s="29"/>
    </row>
    <row r="964" spans="2:4" x14ac:dyDescent="0.25">
      <c r="B964" s="13"/>
      <c r="C964" s="13"/>
      <c r="D964" s="29"/>
    </row>
    <row r="965" spans="2:4" x14ac:dyDescent="0.25">
      <c r="B965" s="13"/>
      <c r="C965" s="13"/>
      <c r="D965" s="29"/>
    </row>
    <row r="966" spans="2:4" x14ac:dyDescent="0.25">
      <c r="B966" s="13"/>
      <c r="C966" s="13"/>
      <c r="D966" s="29"/>
    </row>
    <row r="967" spans="2:4" x14ac:dyDescent="0.25">
      <c r="B967" s="13"/>
      <c r="C967" s="13"/>
      <c r="D967" s="29"/>
    </row>
    <row r="968" spans="2:4" x14ac:dyDescent="0.25">
      <c r="B968" s="13"/>
      <c r="C968" s="13"/>
      <c r="D968" s="29"/>
    </row>
    <row r="969" spans="2:4" x14ac:dyDescent="0.25">
      <c r="B969" s="13"/>
      <c r="C969" s="13"/>
      <c r="D969" s="29"/>
    </row>
    <row r="970" spans="2:4" x14ac:dyDescent="0.25">
      <c r="B970" s="13"/>
      <c r="C970" s="13"/>
      <c r="D970" s="29"/>
    </row>
    <row r="971" spans="2:4" x14ac:dyDescent="0.25">
      <c r="B971" s="13"/>
      <c r="C971" s="13"/>
      <c r="D971" s="29"/>
    </row>
    <row r="972" spans="2:4" x14ac:dyDescent="0.25">
      <c r="B972" s="13"/>
      <c r="C972" s="13"/>
      <c r="D972" s="29"/>
    </row>
    <row r="973" spans="2:4" x14ac:dyDescent="0.25">
      <c r="B973" s="13"/>
      <c r="C973" s="13"/>
      <c r="D973" s="29"/>
    </row>
    <row r="974" spans="2:4" x14ac:dyDescent="0.25">
      <c r="B974" s="13"/>
      <c r="C974" s="13"/>
      <c r="D974" s="29"/>
    </row>
    <row r="975" spans="2:4" x14ac:dyDescent="0.25">
      <c r="B975" s="13"/>
      <c r="C975" s="13"/>
      <c r="D975" s="29"/>
    </row>
    <row r="976" spans="2:4" x14ac:dyDescent="0.25">
      <c r="B976" s="13"/>
      <c r="C976" s="13"/>
      <c r="D976" s="29"/>
    </row>
    <row r="977" spans="2:4" x14ac:dyDescent="0.25">
      <c r="B977" s="13"/>
      <c r="C977" s="13"/>
      <c r="D977" s="29"/>
    </row>
    <row r="978" spans="2:4" x14ac:dyDescent="0.25">
      <c r="B978" s="13"/>
      <c r="C978" s="13"/>
      <c r="D978" s="29"/>
    </row>
    <row r="979" spans="2:4" x14ac:dyDescent="0.25">
      <c r="B979" s="13"/>
      <c r="C979" s="13"/>
      <c r="D979" s="29"/>
    </row>
    <row r="980" spans="2:4" x14ac:dyDescent="0.25">
      <c r="B980" s="13"/>
      <c r="C980" s="13"/>
      <c r="D980" s="29"/>
    </row>
    <row r="981" spans="2:4" x14ac:dyDescent="0.25">
      <c r="B981" s="13"/>
      <c r="C981" s="13"/>
      <c r="D981" s="29"/>
    </row>
    <row r="982" spans="2:4" x14ac:dyDescent="0.25">
      <c r="B982" s="13"/>
      <c r="C982" s="13"/>
      <c r="D982" s="29"/>
    </row>
    <row r="983" spans="2:4" x14ac:dyDescent="0.25">
      <c r="B983" s="13"/>
      <c r="C983" s="13"/>
      <c r="D983" s="29"/>
    </row>
    <row r="984" spans="2:4" x14ac:dyDescent="0.25">
      <c r="B984" s="13"/>
      <c r="C984" s="13"/>
      <c r="D984" s="29"/>
    </row>
    <row r="985" spans="2:4" x14ac:dyDescent="0.25">
      <c r="B985" s="13"/>
      <c r="C985" s="13"/>
      <c r="D985" s="29"/>
    </row>
    <row r="986" spans="2:4" x14ac:dyDescent="0.25">
      <c r="B986" s="13"/>
      <c r="C986" s="13"/>
      <c r="D986" s="29"/>
    </row>
    <row r="987" spans="2:4" x14ac:dyDescent="0.25">
      <c r="B987" s="13"/>
      <c r="C987" s="13"/>
      <c r="D987" s="29"/>
    </row>
    <row r="988" spans="2:4" x14ac:dyDescent="0.25">
      <c r="B988" s="13"/>
      <c r="C988" s="13"/>
      <c r="D988" s="29"/>
    </row>
    <row r="989" spans="2:4" x14ac:dyDescent="0.25">
      <c r="B989" s="13"/>
      <c r="C989" s="13"/>
      <c r="D989" s="29"/>
    </row>
    <row r="990" spans="2:4" x14ac:dyDescent="0.25">
      <c r="B990" s="13"/>
      <c r="C990" s="13"/>
      <c r="D990" s="29"/>
    </row>
    <row r="991" spans="2:4" x14ac:dyDescent="0.25">
      <c r="B991" s="13"/>
      <c r="C991" s="13"/>
      <c r="D991" s="29"/>
    </row>
    <row r="992" spans="2:4" x14ac:dyDescent="0.25">
      <c r="B992" s="13"/>
      <c r="C992" s="13"/>
      <c r="D992" s="29"/>
    </row>
    <row r="993" spans="2:4" x14ac:dyDescent="0.25">
      <c r="B993" s="13"/>
      <c r="C993" s="13"/>
      <c r="D993" s="29"/>
    </row>
    <row r="994" spans="2:4" x14ac:dyDescent="0.25">
      <c r="B994" s="13"/>
      <c r="C994" s="13"/>
      <c r="D994" s="29"/>
    </row>
    <row r="995" spans="2:4" x14ac:dyDescent="0.25">
      <c r="B995" s="13"/>
      <c r="C995" s="13"/>
      <c r="D995" s="29"/>
    </row>
    <row r="996" spans="2:4" x14ac:dyDescent="0.25">
      <c r="B996" s="13"/>
      <c r="C996" s="13"/>
      <c r="D996" s="29"/>
    </row>
    <row r="997" spans="2:4" x14ac:dyDescent="0.25">
      <c r="B997" s="13"/>
      <c r="C997" s="13"/>
      <c r="D997" s="29"/>
    </row>
    <row r="998" spans="2:4" x14ac:dyDescent="0.25">
      <c r="B998" s="13"/>
      <c r="C998" s="13"/>
      <c r="D998" s="29"/>
    </row>
    <row r="999" spans="2:4" x14ac:dyDescent="0.25">
      <c r="B999" s="13"/>
      <c r="C999" s="13"/>
      <c r="D999" s="29"/>
    </row>
    <row r="1000" spans="2:4" x14ac:dyDescent="0.25">
      <c r="B1000" s="13"/>
      <c r="C1000" s="13"/>
      <c r="D1000" s="29"/>
    </row>
    <row r="1001" spans="2:4" x14ac:dyDescent="0.25">
      <c r="B1001" s="13"/>
      <c r="C1001" s="13"/>
      <c r="D1001" s="29"/>
    </row>
    <row r="1002" spans="2:4" x14ac:dyDescent="0.25">
      <c r="B1002" s="13"/>
      <c r="C1002" s="13"/>
      <c r="D1002" s="29"/>
    </row>
    <row r="1003" spans="2:4" x14ac:dyDescent="0.25">
      <c r="B1003" s="13"/>
      <c r="C1003" s="13"/>
      <c r="D1003" s="29"/>
    </row>
    <row r="1004" spans="2:4" x14ac:dyDescent="0.25">
      <c r="B1004" s="13"/>
      <c r="C1004" s="13"/>
      <c r="D1004" s="29"/>
    </row>
    <row r="1005" spans="2:4" x14ac:dyDescent="0.25">
      <c r="B1005" s="13"/>
      <c r="C1005" s="13"/>
      <c r="D1005" s="29"/>
    </row>
    <row r="1006" spans="2:4" x14ac:dyDescent="0.25">
      <c r="B1006" s="13"/>
      <c r="C1006" s="13"/>
      <c r="D1006" s="29"/>
    </row>
    <row r="1007" spans="2:4" x14ac:dyDescent="0.25">
      <c r="B1007" s="13"/>
      <c r="C1007" s="13"/>
      <c r="D1007" s="29"/>
    </row>
    <row r="1008" spans="2:4" x14ac:dyDescent="0.25">
      <c r="B1008" s="13"/>
      <c r="C1008" s="13"/>
      <c r="D1008" s="29"/>
    </row>
    <row r="1009" spans="2:4" x14ac:dyDescent="0.25">
      <c r="B1009" s="13"/>
      <c r="C1009" s="13"/>
      <c r="D1009" s="29"/>
    </row>
    <row r="1010" spans="2:4" x14ac:dyDescent="0.25">
      <c r="B1010" s="13"/>
      <c r="C1010" s="13"/>
      <c r="D1010" s="29"/>
    </row>
    <row r="1011" spans="2:4" x14ac:dyDescent="0.25">
      <c r="B1011" s="13"/>
      <c r="C1011" s="13"/>
      <c r="D1011" s="29"/>
    </row>
    <row r="1012" spans="2:4" x14ac:dyDescent="0.25">
      <c r="B1012" s="13"/>
      <c r="C1012" s="13"/>
      <c r="D1012" s="29"/>
    </row>
    <row r="1013" spans="2:4" x14ac:dyDescent="0.25">
      <c r="B1013" s="13"/>
      <c r="C1013" s="13"/>
      <c r="D1013" s="29"/>
    </row>
    <row r="1014" spans="2:4" x14ac:dyDescent="0.25">
      <c r="B1014" s="13"/>
      <c r="C1014" s="13"/>
      <c r="D1014" s="29"/>
    </row>
    <row r="1015" spans="2:4" x14ac:dyDescent="0.25">
      <c r="B1015" s="13"/>
      <c r="C1015" s="13"/>
      <c r="D1015" s="29"/>
    </row>
    <row r="1016" spans="2:4" x14ac:dyDescent="0.25">
      <c r="B1016" s="13"/>
      <c r="C1016" s="13"/>
      <c r="D1016" s="29"/>
    </row>
    <row r="1017" spans="2:4" x14ac:dyDescent="0.25">
      <c r="B1017" s="13"/>
      <c r="C1017" s="13"/>
      <c r="D1017" s="29"/>
    </row>
    <row r="1018" spans="2:4" x14ac:dyDescent="0.25">
      <c r="B1018" s="13"/>
      <c r="C1018" s="13"/>
      <c r="D1018" s="29"/>
    </row>
    <row r="1019" spans="2:4" x14ac:dyDescent="0.25">
      <c r="B1019" s="13"/>
      <c r="C1019" s="13"/>
      <c r="D1019" s="29"/>
    </row>
    <row r="1020" spans="2:4" x14ac:dyDescent="0.25">
      <c r="B1020" s="13"/>
      <c r="C1020" s="13"/>
      <c r="D1020" s="29"/>
    </row>
    <row r="1021" spans="2:4" x14ac:dyDescent="0.25">
      <c r="B1021" s="13"/>
      <c r="C1021" s="13"/>
      <c r="D1021" s="29"/>
    </row>
    <row r="1022" spans="2:4" x14ac:dyDescent="0.25">
      <c r="B1022" s="13"/>
      <c r="C1022" s="13"/>
      <c r="D1022" s="29"/>
    </row>
    <row r="1023" spans="2:4" x14ac:dyDescent="0.25">
      <c r="B1023" s="13"/>
      <c r="C1023" s="13"/>
      <c r="D1023" s="29"/>
    </row>
    <row r="1024" spans="2:4" x14ac:dyDescent="0.25">
      <c r="B1024" s="13"/>
      <c r="C1024" s="13"/>
      <c r="D1024" s="29"/>
    </row>
    <row r="1025" spans="2:4" x14ac:dyDescent="0.25">
      <c r="B1025" s="13"/>
      <c r="C1025" s="13"/>
      <c r="D1025" s="29"/>
    </row>
    <row r="1026" spans="2:4" x14ac:dyDescent="0.25">
      <c r="B1026" s="13"/>
      <c r="C1026" s="13"/>
      <c r="D1026" s="29"/>
    </row>
    <row r="1027" spans="2:4" x14ac:dyDescent="0.25">
      <c r="B1027" s="13"/>
      <c r="C1027" s="13"/>
      <c r="D1027" s="29"/>
    </row>
    <row r="1028" spans="2:4" x14ac:dyDescent="0.25">
      <c r="B1028" s="13"/>
      <c r="C1028" s="13"/>
      <c r="D1028" s="29"/>
    </row>
    <row r="1029" spans="2:4" x14ac:dyDescent="0.25">
      <c r="B1029" s="13"/>
      <c r="C1029" s="13"/>
      <c r="D1029" s="29"/>
    </row>
    <row r="1030" spans="2:4" x14ac:dyDescent="0.25">
      <c r="B1030" s="13"/>
      <c r="C1030" s="13"/>
      <c r="D1030" s="29"/>
    </row>
    <row r="1031" spans="2:4" x14ac:dyDescent="0.25">
      <c r="B1031" s="13"/>
      <c r="C1031" s="13"/>
      <c r="D1031" s="29"/>
    </row>
    <row r="1032" spans="2:4" x14ac:dyDescent="0.25">
      <c r="B1032" s="13"/>
      <c r="C1032" s="13"/>
      <c r="D1032" s="29"/>
    </row>
    <row r="1033" spans="2:4" x14ac:dyDescent="0.25">
      <c r="B1033" s="13"/>
      <c r="C1033" s="13"/>
      <c r="D1033" s="29"/>
    </row>
    <row r="1034" spans="2:4" x14ac:dyDescent="0.25">
      <c r="B1034" s="13"/>
      <c r="C1034" s="13"/>
      <c r="D1034" s="29"/>
    </row>
    <row r="1035" spans="2:4" x14ac:dyDescent="0.25">
      <c r="B1035" s="13"/>
      <c r="C1035" s="13"/>
      <c r="D1035" s="29"/>
    </row>
    <row r="1036" spans="2:4" x14ac:dyDescent="0.25">
      <c r="B1036" s="13"/>
      <c r="C1036" s="13"/>
      <c r="D1036" s="29"/>
    </row>
    <row r="1037" spans="2:4" x14ac:dyDescent="0.25">
      <c r="B1037" s="13"/>
      <c r="C1037" s="13"/>
      <c r="D1037" s="29"/>
    </row>
    <row r="1038" spans="2:4" x14ac:dyDescent="0.25">
      <c r="B1038" s="13"/>
      <c r="C1038" s="13"/>
      <c r="D1038" s="29"/>
    </row>
    <row r="1039" spans="2:4" x14ac:dyDescent="0.25">
      <c r="B1039" s="13"/>
      <c r="C1039" s="13"/>
      <c r="D1039" s="29"/>
    </row>
    <row r="1040" spans="2:4" x14ac:dyDescent="0.25">
      <c r="B1040" s="13"/>
      <c r="C1040" s="13"/>
      <c r="D1040" s="29"/>
    </row>
    <row r="1041" spans="2:4" x14ac:dyDescent="0.25">
      <c r="B1041" s="13"/>
      <c r="C1041" s="13"/>
      <c r="D1041" s="29"/>
    </row>
    <row r="1042" spans="2:4" x14ac:dyDescent="0.25">
      <c r="B1042" s="13"/>
      <c r="C1042" s="13"/>
      <c r="D1042" s="29"/>
    </row>
    <row r="1043" spans="2:4" x14ac:dyDescent="0.25">
      <c r="B1043" s="13"/>
      <c r="C1043" s="13"/>
      <c r="D1043" s="29"/>
    </row>
    <row r="1044" spans="2:4" x14ac:dyDescent="0.25">
      <c r="B1044" s="13"/>
      <c r="C1044" s="13"/>
      <c r="D1044" s="29"/>
    </row>
    <row r="1045" spans="2:4" x14ac:dyDescent="0.25">
      <c r="B1045" s="13"/>
      <c r="C1045" s="13"/>
      <c r="D1045" s="29"/>
    </row>
    <row r="1046" spans="2:4" x14ac:dyDescent="0.25">
      <c r="B1046" s="13"/>
      <c r="C1046" s="13"/>
      <c r="D1046" s="29"/>
    </row>
    <row r="1047" spans="2:4" x14ac:dyDescent="0.25">
      <c r="B1047" s="13"/>
      <c r="C1047" s="13"/>
      <c r="D1047" s="29"/>
    </row>
    <row r="1048" spans="2:4" x14ac:dyDescent="0.25">
      <c r="B1048" s="13"/>
      <c r="C1048" s="13"/>
      <c r="D1048" s="29"/>
    </row>
    <row r="1049" spans="2:4" x14ac:dyDescent="0.25">
      <c r="B1049" s="13"/>
      <c r="C1049" s="13"/>
      <c r="D1049" s="29"/>
    </row>
    <row r="1050" spans="2:4" x14ac:dyDescent="0.25">
      <c r="B1050" s="13"/>
      <c r="C1050" s="13"/>
      <c r="D1050" s="29"/>
    </row>
    <row r="1051" spans="2:4" x14ac:dyDescent="0.25">
      <c r="B1051" s="13"/>
      <c r="C1051" s="13"/>
      <c r="D1051" s="29"/>
    </row>
    <row r="1052" spans="2:4" x14ac:dyDescent="0.25">
      <c r="B1052" s="13"/>
      <c r="C1052" s="13"/>
      <c r="D1052" s="29"/>
    </row>
    <row r="1053" spans="2:4" x14ac:dyDescent="0.25">
      <c r="B1053" s="13"/>
      <c r="C1053" s="13"/>
      <c r="D1053" s="29"/>
    </row>
    <row r="1054" spans="2:4" x14ac:dyDescent="0.25">
      <c r="B1054" s="13"/>
      <c r="C1054" s="13"/>
      <c r="D1054" s="29"/>
    </row>
    <row r="1055" spans="2:4" x14ac:dyDescent="0.25">
      <c r="B1055" s="13"/>
      <c r="C1055" s="13"/>
      <c r="D1055" s="29"/>
    </row>
    <row r="1056" spans="2:4" x14ac:dyDescent="0.25">
      <c r="B1056" s="13"/>
      <c r="C1056" s="13"/>
      <c r="D1056" s="29"/>
    </row>
    <row r="1057" spans="2:4" x14ac:dyDescent="0.25">
      <c r="B1057" s="13"/>
      <c r="C1057" s="13"/>
      <c r="D1057" s="29"/>
    </row>
    <row r="1058" spans="2:4" x14ac:dyDescent="0.25">
      <c r="B1058" s="13"/>
      <c r="C1058" s="13"/>
      <c r="D1058" s="29"/>
    </row>
    <row r="1059" spans="2:4" x14ac:dyDescent="0.25">
      <c r="B1059" s="13"/>
      <c r="C1059" s="13"/>
      <c r="D1059" s="29"/>
    </row>
    <row r="1060" spans="2:4" x14ac:dyDescent="0.25">
      <c r="B1060" s="13"/>
      <c r="C1060" s="13"/>
      <c r="D1060" s="29"/>
    </row>
    <row r="1061" spans="2:4" x14ac:dyDescent="0.25">
      <c r="B1061" s="13"/>
      <c r="C1061" s="13"/>
      <c r="D1061" s="29"/>
    </row>
    <row r="1062" spans="2:4" x14ac:dyDescent="0.25">
      <c r="B1062" s="13"/>
      <c r="C1062" s="13"/>
      <c r="D1062" s="29"/>
    </row>
    <row r="1063" spans="2:4" x14ac:dyDescent="0.25">
      <c r="B1063" s="13"/>
      <c r="C1063" s="13"/>
      <c r="D1063" s="29"/>
    </row>
    <row r="1064" spans="2:4" x14ac:dyDescent="0.25">
      <c r="B1064" s="13"/>
      <c r="C1064" s="13"/>
      <c r="D1064" s="29"/>
    </row>
    <row r="1065" spans="2:4" x14ac:dyDescent="0.25">
      <c r="B1065" s="13"/>
      <c r="C1065" s="13"/>
      <c r="D1065" s="29"/>
    </row>
    <row r="1066" spans="2:4" x14ac:dyDescent="0.25">
      <c r="B1066" s="13"/>
      <c r="C1066" s="13"/>
      <c r="D1066" s="29"/>
    </row>
    <row r="1067" spans="2:4" x14ac:dyDescent="0.25">
      <c r="B1067" s="13"/>
      <c r="C1067" s="13"/>
      <c r="D1067" s="29"/>
    </row>
    <row r="1068" spans="2:4" x14ac:dyDescent="0.25">
      <c r="B1068" s="13"/>
      <c r="C1068" s="13"/>
      <c r="D1068" s="29"/>
    </row>
    <row r="1069" spans="2:4" x14ac:dyDescent="0.25">
      <c r="B1069" s="13"/>
      <c r="C1069" s="13"/>
      <c r="D1069" s="29"/>
    </row>
    <row r="1070" spans="2:4" x14ac:dyDescent="0.25">
      <c r="B1070" s="13"/>
      <c r="C1070" s="13"/>
      <c r="D1070" s="29"/>
    </row>
    <row r="1071" spans="2:4" x14ac:dyDescent="0.25">
      <c r="B1071" s="13"/>
      <c r="C1071" s="13"/>
      <c r="D1071" s="29"/>
    </row>
    <row r="1072" spans="2:4" x14ac:dyDescent="0.25">
      <c r="B1072" s="13"/>
      <c r="C1072" s="13"/>
      <c r="D1072" s="29"/>
    </row>
    <row r="1073" spans="2:4" x14ac:dyDescent="0.25">
      <c r="B1073" s="13"/>
      <c r="C1073" s="13"/>
      <c r="D1073" s="29"/>
    </row>
    <row r="1074" spans="2:4" x14ac:dyDescent="0.25">
      <c r="B1074" s="13"/>
      <c r="C1074" s="13"/>
      <c r="D1074" s="29"/>
    </row>
    <row r="1075" spans="2:4" x14ac:dyDescent="0.25">
      <c r="B1075" s="13"/>
      <c r="C1075" s="13"/>
      <c r="D1075" s="29"/>
    </row>
    <row r="1076" spans="2:4" x14ac:dyDescent="0.25">
      <c r="B1076" s="13"/>
      <c r="C1076" s="13"/>
      <c r="D1076" s="29"/>
    </row>
    <row r="1077" spans="2:4" x14ac:dyDescent="0.25">
      <c r="B1077" s="13"/>
      <c r="C1077" s="13"/>
      <c r="D1077" s="29"/>
    </row>
    <row r="1078" spans="2:4" x14ac:dyDescent="0.25">
      <c r="B1078" s="13"/>
      <c r="C1078" s="13"/>
      <c r="D1078" s="29"/>
    </row>
    <row r="1079" spans="2:4" x14ac:dyDescent="0.25">
      <c r="B1079" s="13"/>
      <c r="C1079" s="13"/>
      <c r="D1079" s="29"/>
    </row>
    <row r="1080" spans="2:4" x14ac:dyDescent="0.25">
      <c r="B1080" s="13"/>
      <c r="C1080" s="13"/>
      <c r="D1080" s="29"/>
    </row>
    <row r="1081" spans="2:4" x14ac:dyDescent="0.25">
      <c r="B1081" s="13"/>
      <c r="C1081" s="13"/>
      <c r="D1081" s="29"/>
    </row>
    <row r="1082" spans="2:4" x14ac:dyDescent="0.25">
      <c r="B1082" s="13"/>
      <c r="C1082" s="13"/>
      <c r="D1082" s="29"/>
    </row>
    <row r="1083" spans="2:4" x14ac:dyDescent="0.25">
      <c r="B1083" s="13"/>
      <c r="C1083" s="13"/>
      <c r="D1083" s="29"/>
    </row>
    <row r="1084" spans="2:4" x14ac:dyDescent="0.25">
      <c r="B1084" s="13"/>
      <c r="C1084" s="13"/>
      <c r="D1084" s="29"/>
    </row>
    <row r="1085" spans="2:4" x14ac:dyDescent="0.25">
      <c r="B1085" s="13"/>
      <c r="C1085" s="13"/>
      <c r="D1085" s="29"/>
    </row>
    <row r="1086" spans="2:4" x14ac:dyDescent="0.25">
      <c r="B1086" s="13"/>
      <c r="C1086" s="13"/>
      <c r="D1086" s="29"/>
    </row>
    <row r="1087" spans="2:4" x14ac:dyDescent="0.25">
      <c r="B1087" s="13"/>
      <c r="C1087" s="13"/>
      <c r="D1087" s="29"/>
    </row>
    <row r="1088" spans="2:4" x14ac:dyDescent="0.25">
      <c r="B1088" s="13"/>
      <c r="C1088" s="13"/>
      <c r="D1088" s="29"/>
    </row>
    <row r="1089" spans="2:4" x14ac:dyDescent="0.25">
      <c r="B1089" s="13"/>
      <c r="C1089" s="13"/>
      <c r="D1089" s="29"/>
    </row>
    <row r="1090" spans="2:4" x14ac:dyDescent="0.25">
      <c r="B1090" s="13"/>
      <c r="C1090" s="13"/>
      <c r="D1090" s="29"/>
    </row>
    <row r="1091" spans="2:4" x14ac:dyDescent="0.25">
      <c r="B1091" s="13"/>
      <c r="C1091" s="13"/>
      <c r="D1091" s="29"/>
    </row>
    <row r="1092" spans="2:4" x14ac:dyDescent="0.25">
      <c r="B1092" s="13"/>
      <c r="C1092" s="13"/>
      <c r="D1092" s="29"/>
    </row>
    <row r="1093" spans="2:4" x14ac:dyDescent="0.25">
      <c r="B1093" s="13"/>
      <c r="C1093" s="13"/>
      <c r="D1093" s="29"/>
    </row>
    <row r="1094" spans="2:4" x14ac:dyDescent="0.25">
      <c r="B1094" s="13"/>
      <c r="C1094" s="13"/>
      <c r="D1094" s="29"/>
    </row>
    <row r="1095" spans="2:4" x14ac:dyDescent="0.25">
      <c r="B1095" s="13"/>
      <c r="C1095" s="13"/>
      <c r="D1095" s="29"/>
    </row>
    <row r="1096" spans="2:4" x14ac:dyDescent="0.25">
      <c r="B1096" s="13"/>
      <c r="C1096" s="13"/>
      <c r="D1096" s="29"/>
    </row>
    <row r="1097" spans="2:4" x14ac:dyDescent="0.25">
      <c r="B1097" s="13"/>
      <c r="C1097" s="13"/>
      <c r="D1097" s="29"/>
    </row>
    <row r="1098" spans="2:4" x14ac:dyDescent="0.25">
      <c r="B1098" s="13"/>
      <c r="C1098" s="13"/>
      <c r="D1098" s="29"/>
    </row>
    <row r="1099" spans="2:4" x14ac:dyDescent="0.25">
      <c r="B1099" s="13"/>
      <c r="C1099" s="13"/>
      <c r="D1099" s="29"/>
    </row>
    <row r="1100" spans="2:4" x14ac:dyDescent="0.25">
      <c r="B1100" s="13"/>
      <c r="C1100" s="13"/>
      <c r="D1100" s="29"/>
    </row>
    <row r="1101" spans="2:4" x14ac:dyDescent="0.25">
      <c r="B1101" s="13"/>
      <c r="C1101" s="13"/>
      <c r="D1101" s="29"/>
    </row>
    <row r="1102" spans="2:4" x14ac:dyDescent="0.25">
      <c r="B1102" s="13"/>
      <c r="C1102" s="13"/>
      <c r="D1102" s="29"/>
    </row>
    <row r="1103" spans="2:4" x14ac:dyDescent="0.25">
      <c r="B1103" s="13"/>
      <c r="C1103" s="13"/>
      <c r="D1103" s="29"/>
    </row>
    <row r="1104" spans="2:4" x14ac:dyDescent="0.25">
      <c r="B1104" s="13"/>
      <c r="C1104" s="13"/>
      <c r="D1104" s="29"/>
    </row>
    <row r="1105" spans="2:4" x14ac:dyDescent="0.25">
      <c r="B1105" s="13"/>
      <c r="C1105" s="13"/>
      <c r="D1105" s="29"/>
    </row>
    <row r="1106" spans="2:4" x14ac:dyDescent="0.25">
      <c r="B1106" s="13"/>
      <c r="C1106" s="13"/>
      <c r="D1106" s="29"/>
    </row>
    <row r="1107" spans="2:4" x14ac:dyDescent="0.25">
      <c r="B1107" s="13"/>
      <c r="C1107" s="13"/>
      <c r="D1107" s="29"/>
    </row>
    <row r="1108" spans="2:4" x14ac:dyDescent="0.25">
      <c r="B1108" s="13"/>
      <c r="C1108" s="13"/>
      <c r="D1108" s="29"/>
    </row>
    <row r="1109" spans="2:4" x14ac:dyDescent="0.25">
      <c r="B1109" s="13"/>
      <c r="C1109" s="13"/>
      <c r="D1109" s="29"/>
    </row>
    <row r="1110" spans="2:4" x14ac:dyDescent="0.25">
      <c r="B1110" s="13"/>
      <c r="C1110" s="13"/>
      <c r="D1110" s="29"/>
    </row>
    <row r="1111" spans="2:4" x14ac:dyDescent="0.25">
      <c r="B1111" s="13"/>
      <c r="C1111" s="13"/>
      <c r="D1111" s="29"/>
    </row>
    <row r="1112" spans="2:4" x14ac:dyDescent="0.25">
      <c r="B1112" s="13"/>
      <c r="C1112" s="13"/>
      <c r="D1112" s="29"/>
    </row>
    <row r="1113" spans="2:4" x14ac:dyDescent="0.25">
      <c r="B1113" s="13"/>
      <c r="C1113" s="13"/>
      <c r="D1113" s="29"/>
    </row>
    <row r="1114" spans="2:4" x14ac:dyDescent="0.25">
      <c r="B1114" s="13"/>
      <c r="C1114" s="13"/>
      <c r="D1114" s="29"/>
    </row>
    <row r="1115" spans="2:4" x14ac:dyDescent="0.25">
      <c r="B1115" s="13"/>
      <c r="C1115" s="13"/>
      <c r="D1115" s="29"/>
    </row>
    <row r="1116" spans="2:4" x14ac:dyDescent="0.25">
      <c r="B1116" s="13"/>
      <c r="C1116" s="13"/>
      <c r="D1116" s="29"/>
    </row>
    <row r="1117" spans="2:4" x14ac:dyDescent="0.25">
      <c r="B1117" s="13"/>
      <c r="C1117" s="13"/>
      <c r="D1117" s="29"/>
    </row>
    <row r="1118" spans="2:4" x14ac:dyDescent="0.25">
      <c r="B1118" s="13"/>
      <c r="C1118" s="13"/>
      <c r="D1118" s="29"/>
    </row>
    <row r="1119" spans="2:4" x14ac:dyDescent="0.25">
      <c r="B1119" s="13"/>
      <c r="C1119" s="13"/>
      <c r="D1119" s="29"/>
    </row>
    <row r="1120" spans="2:4" x14ac:dyDescent="0.25">
      <c r="B1120" s="13"/>
      <c r="C1120" s="13"/>
      <c r="D1120" s="29"/>
    </row>
    <row r="1121" spans="2:4" x14ac:dyDescent="0.25">
      <c r="B1121" s="13"/>
      <c r="C1121" s="13"/>
      <c r="D1121" s="29"/>
    </row>
    <row r="1122" spans="2:4" x14ac:dyDescent="0.25">
      <c r="B1122" s="13"/>
      <c r="C1122" s="13"/>
      <c r="D1122" s="29"/>
    </row>
    <row r="1123" spans="2:4" x14ac:dyDescent="0.25">
      <c r="B1123" s="13"/>
      <c r="C1123" s="13"/>
      <c r="D1123" s="29"/>
    </row>
    <row r="1124" spans="2:4" x14ac:dyDescent="0.25">
      <c r="B1124" s="13"/>
      <c r="C1124" s="13"/>
      <c r="D1124" s="29"/>
    </row>
    <row r="1125" spans="2:4" x14ac:dyDescent="0.25">
      <c r="B1125" s="13"/>
      <c r="C1125" s="13"/>
      <c r="D1125" s="29"/>
    </row>
    <row r="1126" spans="2:4" x14ac:dyDescent="0.25">
      <c r="B1126" s="13"/>
      <c r="C1126" s="13"/>
      <c r="D1126" s="29"/>
    </row>
    <row r="1127" spans="2:4" x14ac:dyDescent="0.25">
      <c r="B1127" s="13"/>
      <c r="C1127" s="13"/>
      <c r="D1127" s="29"/>
    </row>
    <row r="1128" spans="2:4" x14ac:dyDescent="0.25">
      <c r="B1128" s="13"/>
      <c r="C1128" s="13"/>
      <c r="D1128" s="29"/>
    </row>
    <row r="1129" spans="2:4" x14ac:dyDescent="0.25">
      <c r="B1129" s="13"/>
      <c r="C1129" s="13"/>
      <c r="D1129" s="29"/>
    </row>
    <row r="1130" spans="2:4" x14ac:dyDescent="0.25">
      <c r="B1130" s="13"/>
      <c r="C1130" s="13"/>
      <c r="D1130" s="29"/>
    </row>
    <row r="1131" spans="2:4" x14ac:dyDescent="0.25">
      <c r="B1131" s="13"/>
      <c r="C1131" s="13"/>
      <c r="D1131" s="29"/>
    </row>
    <row r="1132" spans="2:4" x14ac:dyDescent="0.25">
      <c r="B1132" s="13"/>
      <c r="C1132" s="13"/>
      <c r="D1132" s="29"/>
    </row>
    <row r="1133" spans="2:4" x14ac:dyDescent="0.25">
      <c r="B1133" s="13"/>
      <c r="C1133" s="13"/>
      <c r="D1133" s="29"/>
    </row>
    <row r="1134" spans="2:4" x14ac:dyDescent="0.25">
      <c r="B1134" s="13"/>
      <c r="C1134" s="13"/>
      <c r="D1134" s="29"/>
    </row>
    <row r="1135" spans="2:4" x14ac:dyDescent="0.25">
      <c r="B1135" s="13"/>
      <c r="C1135" s="13"/>
      <c r="D1135" s="29"/>
    </row>
    <row r="1136" spans="2:4" x14ac:dyDescent="0.25">
      <c r="B1136" s="13"/>
      <c r="C1136" s="13"/>
      <c r="D1136" s="29"/>
    </row>
    <row r="1137" spans="2:4" x14ac:dyDescent="0.25">
      <c r="B1137" s="13"/>
      <c r="C1137" s="13"/>
      <c r="D1137" s="29"/>
    </row>
    <row r="1138" spans="2:4" x14ac:dyDescent="0.25">
      <c r="B1138" s="13"/>
      <c r="C1138" s="13"/>
      <c r="D1138" s="29"/>
    </row>
    <row r="1139" spans="2:4" x14ac:dyDescent="0.25">
      <c r="B1139" s="13"/>
      <c r="C1139" s="13"/>
      <c r="D1139" s="29"/>
    </row>
    <row r="1140" spans="2:4" x14ac:dyDescent="0.25">
      <c r="B1140" s="13"/>
      <c r="C1140" s="13"/>
      <c r="D1140" s="29"/>
    </row>
    <row r="1141" spans="2:4" x14ac:dyDescent="0.25">
      <c r="B1141" s="13"/>
      <c r="C1141" s="13"/>
      <c r="D1141" s="29"/>
    </row>
    <row r="1142" spans="2:4" x14ac:dyDescent="0.25">
      <c r="B1142" s="13"/>
      <c r="C1142" s="13"/>
      <c r="D1142" s="29"/>
    </row>
    <row r="1143" spans="2:4" x14ac:dyDescent="0.25">
      <c r="B1143" s="13"/>
      <c r="C1143" s="13"/>
      <c r="D1143" s="29"/>
    </row>
    <row r="1144" spans="2:4" x14ac:dyDescent="0.25">
      <c r="B1144" s="13"/>
      <c r="C1144" s="13"/>
      <c r="D1144" s="29"/>
    </row>
    <row r="1145" spans="2:4" x14ac:dyDescent="0.25">
      <c r="B1145" s="13"/>
      <c r="C1145" s="13"/>
      <c r="D1145" s="29"/>
    </row>
    <row r="1146" spans="2:4" x14ac:dyDescent="0.25">
      <c r="B1146" s="13"/>
      <c r="C1146" s="13"/>
      <c r="D1146" s="29"/>
    </row>
    <row r="1147" spans="2:4" x14ac:dyDescent="0.25">
      <c r="B1147" s="13"/>
      <c r="C1147" s="13"/>
      <c r="D1147" s="29"/>
    </row>
    <row r="1148" spans="2:4" x14ac:dyDescent="0.25">
      <c r="B1148" s="13"/>
      <c r="C1148" s="13"/>
      <c r="D1148" s="29"/>
    </row>
    <row r="1149" spans="2:4" x14ac:dyDescent="0.25">
      <c r="B1149" s="13"/>
      <c r="C1149" s="13"/>
      <c r="D1149" s="29"/>
    </row>
    <row r="1150" spans="2:4" x14ac:dyDescent="0.25">
      <c r="B1150" s="13"/>
      <c r="C1150" s="13"/>
      <c r="D1150" s="29"/>
    </row>
    <row r="1151" spans="2:4" x14ac:dyDescent="0.25">
      <c r="B1151" s="13"/>
      <c r="C1151" s="13"/>
      <c r="D1151" s="29"/>
    </row>
    <row r="1152" spans="2:4" x14ac:dyDescent="0.25">
      <c r="B1152" s="13"/>
      <c r="C1152" s="13"/>
      <c r="D1152" s="29"/>
    </row>
    <row r="1153" spans="2:4" x14ac:dyDescent="0.25">
      <c r="B1153" s="13"/>
      <c r="C1153" s="13"/>
      <c r="D1153" s="29"/>
    </row>
    <row r="1154" spans="2:4" x14ac:dyDescent="0.25">
      <c r="B1154" s="13"/>
      <c r="C1154" s="13"/>
      <c r="D1154" s="29"/>
    </row>
    <row r="1155" spans="2:4" x14ac:dyDescent="0.25">
      <c r="B1155" s="13"/>
      <c r="C1155" s="13"/>
      <c r="D1155" s="29"/>
    </row>
    <row r="1156" spans="2:4" x14ac:dyDescent="0.25">
      <c r="B1156" s="13"/>
      <c r="C1156" s="13"/>
      <c r="D1156" s="29"/>
    </row>
    <row r="1157" spans="2:4" x14ac:dyDescent="0.25">
      <c r="B1157" s="13"/>
      <c r="C1157" s="13"/>
      <c r="D1157" s="29"/>
    </row>
    <row r="1158" spans="2:4" x14ac:dyDescent="0.25">
      <c r="B1158" s="13"/>
      <c r="C1158" s="13"/>
      <c r="D1158" s="29"/>
    </row>
    <row r="1159" spans="2:4" x14ac:dyDescent="0.25">
      <c r="B1159" s="13"/>
      <c r="C1159" s="13"/>
      <c r="D1159" s="29"/>
    </row>
    <row r="1160" spans="2:4" x14ac:dyDescent="0.25">
      <c r="B1160" s="13"/>
      <c r="C1160" s="13"/>
      <c r="D1160" s="29"/>
    </row>
    <row r="1161" spans="2:4" x14ac:dyDescent="0.25">
      <c r="B1161" s="13"/>
      <c r="C1161" s="13"/>
      <c r="D1161" s="29"/>
    </row>
    <row r="1162" spans="2:4" x14ac:dyDescent="0.25">
      <c r="B1162" s="13"/>
      <c r="C1162" s="13"/>
      <c r="D1162" s="29"/>
    </row>
    <row r="1163" spans="2:4" x14ac:dyDescent="0.25">
      <c r="B1163" s="13"/>
      <c r="C1163" s="13"/>
      <c r="D1163" s="29"/>
    </row>
    <row r="1164" spans="2:4" x14ac:dyDescent="0.25">
      <c r="B1164" s="13"/>
      <c r="C1164" s="13"/>
      <c r="D1164" s="29"/>
    </row>
    <row r="1165" spans="2:4" x14ac:dyDescent="0.25">
      <c r="B1165" s="13"/>
      <c r="C1165" s="13"/>
      <c r="D1165" s="29"/>
    </row>
    <row r="1166" spans="2:4" x14ac:dyDescent="0.25">
      <c r="B1166" s="13"/>
      <c r="C1166" s="13"/>
      <c r="D1166" s="29"/>
    </row>
    <row r="1167" spans="2:4" x14ac:dyDescent="0.25">
      <c r="B1167" s="13"/>
      <c r="C1167" s="13"/>
      <c r="D1167" s="29"/>
    </row>
    <row r="1168" spans="2:4" x14ac:dyDescent="0.25">
      <c r="B1168" s="13"/>
      <c r="C1168" s="13"/>
      <c r="D1168" s="29"/>
    </row>
    <row r="1169" spans="2:4" x14ac:dyDescent="0.25">
      <c r="B1169" s="13"/>
      <c r="C1169" s="13"/>
      <c r="D1169" s="29"/>
    </row>
    <row r="1170" spans="2:4" x14ac:dyDescent="0.25">
      <c r="B1170" s="13"/>
      <c r="C1170" s="13"/>
      <c r="D1170" s="29"/>
    </row>
    <row r="1171" spans="2:4" x14ac:dyDescent="0.25">
      <c r="B1171" s="13"/>
      <c r="C1171" s="13"/>
      <c r="D1171" s="29"/>
    </row>
    <row r="1172" spans="2:4" x14ac:dyDescent="0.25">
      <c r="B1172" s="13"/>
      <c r="C1172" s="13"/>
      <c r="D1172" s="29"/>
    </row>
    <row r="1173" spans="2:4" x14ac:dyDescent="0.25">
      <c r="B1173" s="13"/>
      <c r="C1173" s="13"/>
      <c r="D1173" s="29"/>
    </row>
    <row r="1174" spans="2:4" x14ac:dyDescent="0.25">
      <c r="B1174" s="13"/>
      <c r="C1174" s="13"/>
      <c r="D1174" s="29"/>
    </row>
    <row r="1175" spans="2:4" x14ac:dyDescent="0.25">
      <c r="B1175" s="13"/>
      <c r="C1175" s="13"/>
      <c r="D1175" s="29"/>
    </row>
    <row r="1176" spans="2:4" x14ac:dyDescent="0.25">
      <c r="B1176" s="13"/>
      <c r="C1176" s="13"/>
      <c r="D1176" s="29"/>
    </row>
    <row r="1177" spans="2:4" x14ac:dyDescent="0.25">
      <c r="B1177" s="13"/>
      <c r="C1177" s="13"/>
      <c r="D1177" s="29"/>
    </row>
    <row r="1178" spans="2:4" x14ac:dyDescent="0.25">
      <c r="B1178" s="13"/>
      <c r="C1178" s="13"/>
      <c r="D1178" s="29"/>
    </row>
    <row r="1179" spans="2:4" x14ac:dyDescent="0.25">
      <c r="B1179" s="13"/>
      <c r="C1179" s="13"/>
      <c r="D1179" s="29"/>
    </row>
    <row r="1180" spans="2:4" x14ac:dyDescent="0.25">
      <c r="B1180" s="13"/>
      <c r="C1180" s="13"/>
      <c r="D1180" s="29"/>
    </row>
    <row r="1181" spans="2:4" x14ac:dyDescent="0.25">
      <c r="B1181" s="13"/>
      <c r="C1181" s="13"/>
      <c r="D1181" s="29"/>
    </row>
    <row r="1182" spans="2:4" x14ac:dyDescent="0.25">
      <c r="B1182" s="13"/>
      <c r="C1182" s="13"/>
      <c r="D1182" s="29"/>
    </row>
    <row r="1183" spans="2:4" x14ac:dyDescent="0.25">
      <c r="B1183" s="13"/>
      <c r="C1183" s="13"/>
      <c r="D1183" s="29"/>
    </row>
    <row r="1184" spans="2:4" x14ac:dyDescent="0.25">
      <c r="B1184" s="13"/>
      <c r="C1184" s="13"/>
      <c r="D1184" s="29"/>
    </row>
    <row r="1185" spans="2:4" x14ac:dyDescent="0.25">
      <c r="B1185" s="13"/>
      <c r="C1185" s="13"/>
      <c r="D1185" s="29"/>
    </row>
    <row r="1186" spans="2:4" x14ac:dyDescent="0.25">
      <c r="B1186" s="13"/>
      <c r="C1186" s="13"/>
      <c r="D1186" s="29"/>
    </row>
    <row r="1187" spans="2:4" x14ac:dyDescent="0.25">
      <c r="B1187" s="13"/>
      <c r="C1187" s="13"/>
      <c r="D1187" s="29"/>
    </row>
    <row r="1188" spans="2:4" x14ac:dyDescent="0.25">
      <c r="B1188" s="13"/>
      <c r="C1188" s="13"/>
      <c r="D1188" s="29"/>
    </row>
    <row r="1189" spans="2:4" x14ac:dyDescent="0.25">
      <c r="B1189" s="13"/>
      <c r="C1189" s="13"/>
      <c r="D1189" s="29"/>
    </row>
    <row r="1190" spans="2:4" x14ac:dyDescent="0.25">
      <c r="B1190" s="13"/>
      <c r="C1190" s="13"/>
      <c r="D1190" s="29"/>
    </row>
    <row r="1191" spans="2:4" x14ac:dyDescent="0.25">
      <c r="B1191" s="13"/>
      <c r="C1191" s="13"/>
      <c r="D1191" s="29"/>
    </row>
    <row r="1192" spans="2:4" x14ac:dyDescent="0.25">
      <c r="B1192" s="13"/>
      <c r="C1192" s="13"/>
      <c r="D1192" s="29"/>
    </row>
    <row r="1193" spans="2:4" x14ac:dyDescent="0.25">
      <c r="B1193" s="13"/>
      <c r="C1193" s="13"/>
      <c r="D1193" s="29"/>
    </row>
    <row r="1194" spans="2:4" x14ac:dyDescent="0.25">
      <c r="B1194" s="13"/>
      <c r="C1194" s="13"/>
      <c r="D1194" s="29"/>
    </row>
    <row r="1195" spans="2:4" x14ac:dyDescent="0.25">
      <c r="B1195" s="13"/>
      <c r="C1195" s="13"/>
      <c r="D1195" s="29"/>
    </row>
    <row r="1196" spans="2:4" x14ac:dyDescent="0.25">
      <c r="B1196" s="13"/>
      <c r="C1196" s="13"/>
      <c r="D1196" s="29"/>
    </row>
    <row r="1197" spans="2:4" x14ac:dyDescent="0.25">
      <c r="B1197" s="13"/>
      <c r="C1197" s="13"/>
      <c r="D1197" s="29"/>
    </row>
    <row r="1198" spans="2:4" x14ac:dyDescent="0.25">
      <c r="B1198" s="13"/>
      <c r="C1198" s="13"/>
      <c r="D1198" s="29"/>
    </row>
    <row r="1199" spans="2:4" x14ac:dyDescent="0.25">
      <c r="B1199" s="13"/>
      <c r="C1199" s="13"/>
      <c r="D1199" s="29"/>
    </row>
    <row r="1200" spans="2:4" x14ac:dyDescent="0.25">
      <c r="B1200" s="13"/>
      <c r="C1200" s="13"/>
      <c r="D1200" s="29"/>
    </row>
    <row r="1201" spans="2:4" x14ac:dyDescent="0.25">
      <c r="B1201" s="13"/>
      <c r="C1201" s="13"/>
      <c r="D1201" s="29"/>
    </row>
    <row r="1202" spans="2:4" x14ac:dyDescent="0.25">
      <c r="B1202" s="13"/>
      <c r="C1202" s="13"/>
      <c r="D1202" s="29"/>
    </row>
    <row r="1203" spans="2:4" x14ac:dyDescent="0.25">
      <c r="B1203" s="13"/>
      <c r="C1203" s="13"/>
      <c r="D1203" s="29"/>
    </row>
    <row r="1204" spans="2:4" x14ac:dyDescent="0.25">
      <c r="B1204" s="13"/>
      <c r="C1204" s="13"/>
      <c r="D1204" s="29"/>
    </row>
    <row r="1205" spans="2:4" x14ac:dyDescent="0.25">
      <c r="B1205" s="13"/>
      <c r="C1205" s="13"/>
      <c r="D1205" s="29"/>
    </row>
    <row r="1206" spans="2:4" x14ac:dyDescent="0.25">
      <c r="B1206" s="13"/>
      <c r="C1206" s="13"/>
      <c r="D1206" s="29"/>
    </row>
    <row r="1207" spans="2:4" x14ac:dyDescent="0.25">
      <c r="B1207" s="13"/>
      <c r="C1207" s="13"/>
      <c r="D1207" s="29"/>
    </row>
    <row r="1208" spans="2:4" x14ac:dyDescent="0.25">
      <c r="B1208" s="13"/>
      <c r="C1208" s="13"/>
      <c r="D1208" s="29"/>
    </row>
    <row r="1209" spans="2:4" x14ac:dyDescent="0.25">
      <c r="B1209" s="13"/>
      <c r="C1209" s="13"/>
      <c r="D1209" s="29"/>
    </row>
    <row r="1210" spans="2:4" x14ac:dyDescent="0.25">
      <c r="B1210" s="13"/>
      <c r="C1210" s="13"/>
      <c r="D1210" s="29"/>
    </row>
    <row r="1211" spans="2:4" x14ac:dyDescent="0.25">
      <c r="B1211" s="13"/>
      <c r="C1211" s="13"/>
      <c r="D1211" s="29"/>
    </row>
    <row r="1212" spans="2:4" x14ac:dyDescent="0.25">
      <c r="B1212" s="13"/>
      <c r="C1212" s="13"/>
      <c r="D1212" s="29"/>
    </row>
    <row r="1213" spans="2:4" x14ac:dyDescent="0.25">
      <c r="B1213" s="13"/>
      <c r="C1213" s="13"/>
      <c r="D1213" s="29"/>
    </row>
    <row r="1214" spans="2:4" x14ac:dyDescent="0.25">
      <c r="B1214" s="13"/>
      <c r="C1214" s="13"/>
      <c r="D1214" s="29"/>
    </row>
    <row r="1215" spans="2:4" x14ac:dyDescent="0.25">
      <c r="B1215" s="13"/>
      <c r="C1215" s="13"/>
      <c r="D1215" s="29"/>
    </row>
    <row r="1216" spans="2:4" x14ac:dyDescent="0.25">
      <c r="B1216" s="13"/>
      <c r="C1216" s="13"/>
      <c r="D1216" s="29"/>
    </row>
    <row r="1217" spans="2:4" x14ac:dyDescent="0.25">
      <c r="B1217" s="13"/>
      <c r="C1217" s="13"/>
      <c r="D1217" s="29"/>
    </row>
    <row r="1218" spans="2:4" x14ac:dyDescent="0.25">
      <c r="B1218" s="13"/>
      <c r="C1218" s="13"/>
      <c r="D1218" s="29"/>
    </row>
    <row r="1219" spans="2:4" x14ac:dyDescent="0.25">
      <c r="B1219" s="13"/>
      <c r="C1219" s="13"/>
      <c r="D1219" s="29"/>
    </row>
    <row r="1220" spans="2:4" x14ac:dyDescent="0.25">
      <c r="B1220" s="13"/>
      <c r="C1220" s="13"/>
      <c r="D1220" s="29"/>
    </row>
    <row r="1221" spans="2:4" x14ac:dyDescent="0.25">
      <c r="B1221" s="13"/>
      <c r="C1221" s="13"/>
      <c r="D1221" s="29"/>
    </row>
    <row r="1222" spans="2:4" x14ac:dyDescent="0.25">
      <c r="B1222" s="13"/>
      <c r="C1222" s="13"/>
      <c r="D1222" s="29"/>
    </row>
    <row r="1223" spans="2:4" x14ac:dyDescent="0.25">
      <c r="B1223" s="13"/>
      <c r="C1223" s="13"/>
      <c r="D1223" s="29"/>
    </row>
    <row r="1224" spans="2:4" x14ac:dyDescent="0.25">
      <c r="B1224" s="13"/>
      <c r="C1224" s="13"/>
      <c r="D1224" s="29"/>
    </row>
    <row r="1225" spans="2:4" x14ac:dyDescent="0.25">
      <c r="B1225" s="13"/>
      <c r="C1225" s="13"/>
      <c r="D1225" s="29"/>
    </row>
    <row r="1226" spans="2:4" x14ac:dyDescent="0.25">
      <c r="B1226" s="13"/>
      <c r="C1226" s="13"/>
      <c r="D1226" s="29"/>
    </row>
    <row r="1227" spans="2:4" x14ac:dyDescent="0.25">
      <c r="B1227" s="13"/>
      <c r="C1227" s="13"/>
      <c r="D1227" s="29"/>
    </row>
    <row r="1228" spans="2:4" x14ac:dyDescent="0.25">
      <c r="B1228" s="13"/>
      <c r="C1228" s="13"/>
      <c r="D1228" s="29"/>
    </row>
    <row r="1229" spans="2:4" x14ac:dyDescent="0.25">
      <c r="B1229" s="13"/>
      <c r="C1229" s="13"/>
      <c r="D1229" s="29"/>
    </row>
    <row r="1230" spans="2:4" x14ac:dyDescent="0.25">
      <c r="B1230" s="13"/>
      <c r="C1230" s="13"/>
      <c r="D1230" s="29"/>
    </row>
    <row r="1231" spans="2:4" x14ac:dyDescent="0.25">
      <c r="B1231" s="13"/>
      <c r="C1231" s="13"/>
      <c r="D1231" s="29"/>
    </row>
    <row r="1232" spans="2:4" x14ac:dyDescent="0.25">
      <c r="B1232" s="13"/>
      <c r="C1232" s="13"/>
      <c r="D1232" s="29"/>
    </row>
    <row r="1233" spans="2:4" x14ac:dyDescent="0.25">
      <c r="B1233" s="13"/>
      <c r="C1233" s="13"/>
      <c r="D1233" s="29"/>
    </row>
    <row r="1234" spans="2:4" x14ac:dyDescent="0.25">
      <c r="B1234" s="13"/>
      <c r="C1234" s="13"/>
      <c r="D1234" s="29"/>
    </row>
    <row r="1235" spans="2:4" x14ac:dyDescent="0.25">
      <c r="B1235" s="13"/>
      <c r="C1235" s="13"/>
      <c r="D1235" s="29"/>
    </row>
    <row r="1236" spans="2:4" x14ac:dyDescent="0.25">
      <c r="B1236" s="13"/>
      <c r="C1236" s="13"/>
      <c r="D1236" s="29"/>
    </row>
    <row r="1237" spans="2:4" x14ac:dyDescent="0.25">
      <c r="B1237" s="13"/>
      <c r="C1237" s="13"/>
      <c r="D1237" s="29"/>
    </row>
    <row r="1238" spans="2:4" x14ac:dyDescent="0.25">
      <c r="B1238" s="13"/>
      <c r="C1238" s="13"/>
      <c r="D1238" s="29"/>
    </row>
    <row r="1239" spans="2:4" x14ac:dyDescent="0.25">
      <c r="B1239" s="13"/>
      <c r="C1239" s="13"/>
      <c r="D1239" s="29"/>
    </row>
    <row r="1240" spans="2:4" x14ac:dyDescent="0.25">
      <c r="B1240" s="13"/>
      <c r="C1240" s="13"/>
      <c r="D1240" s="29"/>
    </row>
    <row r="1241" spans="2:4" x14ac:dyDescent="0.25">
      <c r="B1241" s="13"/>
      <c r="C1241" s="13"/>
      <c r="D1241" s="29"/>
    </row>
    <row r="1242" spans="2:4" x14ac:dyDescent="0.25">
      <c r="B1242" s="13"/>
      <c r="C1242" s="13"/>
      <c r="D1242" s="29"/>
    </row>
    <row r="1243" spans="2:4" x14ac:dyDescent="0.25">
      <c r="B1243" s="13"/>
      <c r="C1243" s="13"/>
      <c r="D1243" s="29"/>
    </row>
    <row r="1244" spans="2:4" x14ac:dyDescent="0.25">
      <c r="B1244" s="13"/>
      <c r="C1244" s="13"/>
      <c r="D1244" s="29"/>
    </row>
    <row r="1245" spans="2:4" x14ac:dyDescent="0.25">
      <c r="B1245" s="13"/>
      <c r="C1245" s="13"/>
      <c r="D1245" s="29"/>
    </row>
    <row r="1246" spans="2:4" x14ac:dyDescent="0.25">
      <c r="B1246" s="13"/>
      <c r="C1246" s="13"/>
      <c r="D1246" s="29"/>
    </row>
    <row r="1247" spans="2:4" x14ac:dyDescent="0.25">
      <c r="B1247" s="13"/>
      <c r="C1247" s="13"/>
      <c r="D1247" s="29"/>
    </row>
    <row r="1248" spans="2:4" x14ac:dyDescent="0.25">
      <c r="B1248" s="13"/>
      <c r="C1248" s="13"/>
      <c r="D1248" s="29"/>
    </row>
    <row r="1249" spans="2:4" x14ac:dyDescent="0.25">
      <c r="B1249" s="13"/>
      <c r="C1249" s="13"/>
      <c r="D1249" s="29"/>
    </row>
    <row r="1250" spans="2:4" x14ac:dyDescent="0.25">
      <c r="B1250" s="13"/>
      <c r="C1250" s="13"/>
      <c r="D1250" s="29"/>
    </row>
    <row r="1251" spans="2:4" x14ac:dyDescent="0.25">
      <c r="B1251" s="13"/>
      <c r="C1251" s="13"/>
      <c r="D1251" s="29"/>
    </row>
    <row r="1252" spans="2:4" x14ac:dyDescent="0.25">
      <c r="B1252" s="13"/>
      <c r="C1252" s="13"/>
      <c r="D1252" s="29"/>
    </row>
    <row r="1253" spans="2:4" x14ac:dyDescent="0.25">
      <c r="B1253" s="13"/>
      <c r="C1253" s="13"/>
      <c r="D1253" s="29"/>
    </row>
    <row r="1254" spans="2:4" x14ac:dyDescent="0.25">
      <c r="B1254" s="13"/>
      <c r="C1254" s="13"/>
      <c r="D1254" s="29"/>
    </row>
    <row r="1255" spans="2:4" x14ac:dyDescent="0.25">
      <c r="B1255" s="13"/>
      <c r="C1255" s="13"/>
      <c r="D1255" s="29"/>
    </row>
    <row r="1256" spans="2:4" x14ac:dyDescent="0.25">
      <c r="B1256" s="13"/>
      <c r="C1256" s="13"/>
      <c r="D1256" s="29"/>
    </row>
    <row r="1257" spans="2:4" x14ac:dyDescent="0.25">
      <c r="B1257" s="13"/>
      <c r="C1257" s="13"/>
      <c r="D1257" s="29"/>
    </row>
    <row r="1258" spans="2:4" x14ac:dyDescent="0.25">
      <c r="B1258" s="13"/>
      <c r="C1258" s="13"/>
      <c r="D1258" s="29"/>
    </row>
    <row r="1259" spans="2:4" x14ac:dyDescent="0.25">
      <c r="B1259" s="13"/>
      <c r="C1259" s="13"/>
      <c r="D1259" s="29"/>
    </row>
    <row r="1260" spans="2:4" x14ac:dyDescent="0.25">
      <c r="B1260" s="13"/>
      <c r="C1260" s="13"/>
      <c r="D1260" s="29"/>
    </row>
    <row r="1261" spans="2:4" x14ac:dyDescent="0.25">
      <c r="B1261" s="13"/>
      <c r="C1261" s="13"/>
      <c r="D1261" s="29"/>
    </row>
    <row r="1262" spans="2:4" x14ac:dyDescent="0.25">
      <c r="B1262" s="13"/>
      <c r="C1262" s="13"/>
      <c r="D1262" s="29"/>
    </row>
    <row r="1263" spans="2:4" x14ac:dyDescent="0.25">
      <c r="B1263" s="13"/>
      <c r="C1263" s="13"/>
      <c r="D1263" s="29"/>
    </row>
    <row r="1264" spans="2:4" x14ac:dyDescent="0.25">
      <c r="B1264" s="13"/>
      <c r="C1264" s="13"/>
      <c r="D1264" s="29"/>
    </row>
    <row r="1265" spans="2:4" x14ac:dyDescent="0.25">
      <c r="B1265" s="13"/>
      <c r="C1265" s="13"/>
      <c r="D1265" s="29"/>
    </row>
    <row r="1266" spans="2:4" x14ac:dyDescent="0.25">
      <c r="B1266" s="13"/>
      <c r="C1266" s="13"/>
      <c r="D1266" s="29"/>
    </row>
    <row r="1267" spans="2:4" x14ac:dyDescent="0.25">
      <c r="B1267" s="13"/>
      <c r="C1267" s="13"/>
      <c r="D1267" s="29"/>
    </row>
    <row r="1268" spans="2:4" x14ac:dyDescent="0.25">
      <c r="B1268" s="13"/>
      <c r="C1268" s="13"/>
      <c r="D1268" s="29"/>
    </row>
    <row r="1269" spans="2:4" x14ac:dyDescent="0.25">
      <c r="B1269" s="13"/>
      <c r="C1269" s="13"/>
      <c r="D1269" s="29"/>
    </row>
    <row r="1270" spans="2:4" x14ac:dyDescent="0.25">
      <c r="B1270" s="13"/>
      <c r="C1270" s="13"/>
      <c r="D1270" s="29"/>
    </row>
    <row r="1271" spans="2:4" x14ac:dyDescent="0.25">
      <c r="B1271" s="13"/>
      <c r="C1271" s="13"/>
      <c r="D1271" s="29"/>
    </row>
    <row r="1272" spans="2:4" x14ac:dyDescent="0.25">
      <c r="B1272" s="13"/>
      <c r="C1272" s="13"/>
      <c r="D1272" s="29"/>
    </row>
    <row r="1273" spans="2:4" x14ac:dyDescent="0.25">
      <c r="B1273" s="13"/>
      <c r="C1273" s="13"/>
      <c r="D1273" s="29"/>
    </row>
    <row r="1274" spans="2:4" x14ac:dyDescent="0.25">
      <c r="B1274" s="13"/>
      <c r="C1274" s="13"/>
      <c r="D1274" s="29"/>
    </row>
    <row r="1275" spans="2:4" x14ac:dyDescent="0.25">
      <c r="B1275" s="13"/>
      <c r="C1275" s="13"/>
      <c r="D1275" s="29"/>
    </row>
    <row r="1276" spans="2:4" x14ac:dyDescent="0.25">
      <c r="B1276" s="13"/>
      <c r="C1276" s="13"/>
      <c r="D1276" s="29"/>
    </row>
    <row r="1277" spans="2:4" x14ac:dyDescent="0.25">
      <c r="B1277" s="13"/>
      <c r="C1277" s="13"/>
      <c r="D1277" s="29"/>
    </row>
    <row r="1278" spans="2:4" x14ac:dyDescent="0.25">
      <c r="B1278" s="13"/>
      <c r="C1278" s="13"/>
      <c r="D1278" s="29"/>
    </row>
    <row r="1279" spans="2:4" x14ac:dyDescent="0.25">
      <c r="B1279" s="13"/>
      <c r="C1279" s="13"/>
      <c r="D1279" s="29"/>
    </row>
    <row r="1280" spans="2:4" x14ac:dyDescent="0.25">
      <c r="B1280" s="13"/>
      <c r="C1280" s="13"/>
      <c r="D1280" s="29"/>
    </row>
    <row r="1281" spans="2:4" x14ac:dyDescent="0.25">
      <c r="B1281" s="13"/>
      <c r="C1281" s="13"/>
      <c r="D1281" s="29"/>
    </row>
    <row r="1282" spans="2:4" x14ac:dyDescent="0.25">
      <c r="B1282" s="13"/>
      <c r="C1282" s="13"/>
      <c r="D1282" s="29"/>
    </row>
    <row r="1283" spans="2:4" x14ac:dyDescent="0.25">
      <c r="B1283" s="13"/>
      <c r="C1283" s="13"/>
      <c r="D1283" s="29"/>
    </row>
    <row r="1284" spans="2:4" x14ac:dyDescent="0.25">
      <c r="B1284" s="13"/>
      <c r="C1284" s="13"/>
      <c r="D1284" s="29"/>
    </row>
    <row r="1285" spans="2:4" x14ac:dyDescent="0.25">
      <c r="B1285" s="13"/>
      <c r="C1285" s="13"/>
      <c r="D1285" s="29"/>
    </row>
    <row r="1286" spans="2:4" x14ac:dyDescent="0.25">
      <c r="B1286" s="13"/>
      <c r="C1286" s="13"/>
      <c r="D1286" s="29"/>
    </row>
    <row r="1287" spans="2:4" x14ac:dyDescent="0.25">
      <c r="B1287" s="13"/>
      <c r="C1287" s="13"/>
      <c r="D1287" s="29"/>
    </row>
    <row r="1288" spans="2:4" x14ac:dyDescent="0.25">
      <c r="B1288" s="13"/>
      <c r="C1288" s="13"/>
      <c r="D1288" s="29"/>
    </row>
    <row r="1289" spans="2:4" x14ac:dyDescent="0.25">
      <c r="B1289" s="13"/>
      <c r="C1289" s="13"/>
      <c r="D1289" s="29"/>
    </row>
    <row r="1290" spans="2:4" x14ac:dyDescent="0.25">
      <c r="B1290" s="13"/>
      <c r="C1290" s="13"/>
      <c r="D1290" s="29"/>
    </row>
    <row r="1291" spans="2:4" x14ac:dyDescent="0.25">
      <c r="B1291" s="13"/>
      <c r="C1291" s="13"/>
      <c r="D1291" s="29"/>
    </row>
    <row r="1292" spans="2:4" x14ac:dyDescent="0.25">
      <c r="B1292" s="13"/>
      <c r="C1292" s="13"/>
      <c r="D1292" s="29"/>
    </row>
    <row r="1293" spans="2:4" x14ac:dyDescent="0.25">
      <c r="B1293" s="13"/>
      <c r="C1293" s="13"/>
      <c r="D1293" s="29"/>
    </row>
    <row r="1294" spans="2:4" x14ac:dyDescent="0.25">
      <c r="B1294" s="13"/>
      <c r="C1294" s="13"/>
      <c r="D1294" s="29"/>
    </row>
    <row r="1295" spans="2:4" x14ac:dyDescent="0.25">
      <c r="B1295" s="13"/>
      <c r="C1295" s="13"/>
      <c r="D1295" s="29"/>
    </row>
    <row r="1296" spans="2:4" x14ac:dyDescent="0.25">
      <c r="B1296" s="13"/>
      <c r="C1296" s="13"/>
      <c r="D1296" s="29"/>
    </row>
    <row r="1297" spans="2:4" x14ac:dyDescent="0.25">
      <c r="B1297" s="13"/>
      <c r="C1297" s="13"/>
      <c r="D1297" s="29"/>
    </row>
    <row r="1298" spans="2:4" x14ac:dyDescent="0.25">
      <c r="B1298" s="13"/>
      <c r="C1298" s="13"/>
      <c r="D1298" s="29"/>
    </row>
    <row r="1299" spans="2:4" x14ac:dyDescent="0.25">
      <c r="B1299" s="13"/>
      <c r="C1299" s="13"/>
      <c r="D1299" s="29"/>
    </row>
    <row r="1300" spans="2:4" x14ac:dyDescent="0.25">
      <c r="B1300" s="13"/>
      <c r="C1300" s="13"/>
      <c r="D1300" s="29"/>
    </row>
    <row r="1301" spans="2:4" x14ac:dyDescent="0.25">
      <c r="B1301" s="13"/>
      <c r="C1301" s="13"/>
      <c r="D1301" s="29"/>
    </row>
    <row r="1302" spans="2:4" x14ac:dyDescent="0.25">
      <c r="B1302" s="13"/>
      <c r="C1302" s="13"/>
      <c r="D1302" s="29"/>
    </row>
    <row r="1303" spans="2:4" x14ac:dyDescent="0.25">
      <c r="B1303" s="13"/>
      <c r="C1303" s="13"/>
      <c r="D1303" s="29"/>
    </row>
    <row r="1304" spans="2:4" x14ac:dyDescent="0.25">
      <c r="B1304" s="13"/>
      <c r="C1304" s="13"/>
      <c r="D1304" s="29"/>
    </row>
    <row r="1305" spans="2:4" x14ac:dyDescent="0.25">
      <c r="B1305" s="13"/>
      <c r="C1305" s="13"/>
      <c r="D1305" s="29"/>
    </row>
    <row r="1306" spans="2:4" x14ac:dyDescent="0.25">
      <c r="B1306" s="13"/>
      <c r="C1306" s="13"/>
      <c r="D1306" s="29"/>
    </row>
    <row r="1307" spans="2:4" x14ac:dyDescent="0.25">
      <c r="B1307" s="13"/>
      <c r="C1307" s="13"/>
      <c r="D1307" s="29"/>
    </row>
    <row r="1308" spans="2:4" x14ac:dyDescent="0.25">
      <c r="B1308" s="13"/>
      <c r="C1308" s="13"/>
      <c r="D1308" s="29"/>
    </row>
    <row r="1309" spans="2:4" x14ac:dyDescent="0.25">
      <c r="B1309" s="13"/>
      <c r="C1309" s="13"/>
      <c r="D1309" s="29"/>
    </row>
    <row r="1310" spans="2:4" x14ac:dyDescent="0.25">
      <c r="B1310" s="13"/>
      <c r="C1310" s="13"/>
      <c r="D1310" s="29"/>
    </row>
    <row r="1311" spans="2:4" x14ac:dyDescent="0.25">
      <c r="B1311" s="13"/>
      <c r="C1311" s="13"/>
      <c r="D1311" s="29"/>
    </row>
    <row r="1312" spans="2:4" x14ac:dyDescent="0.25">
      <c r="B1312" s="13"/>
      <c r="C1312" s="13"/>
      <c r="D1312" s="29"/>
    </row>
    <row r="1313" spans="2:4" x14ac:dyDescent="0.25">
      <c r="B1313" s="13"/>
      <c r="C1313" s="13"/>
      <c r="D1313" s="29"/>
    </row>
    <row r="1314" spans="2:4" x14ac:dyDescent="0.25">
      <c r="B1314" s="13"/>
      <c r="C1314" s="13"/>
      <c r="D1314" s="29"/>
    </row>
    <row r="1315" spans="2:4" x14ac:dyDescent="0.25">
      <c r="B1315" s="13"/>
      <c r="C1315" s="13"/>
      <c r="D1315" s="29"/>
    </row>
    <row r="1316" spans="2:4" x14ac:dyDescent="0.25">
      <c r="B1316" s="13"/>
      <c r="C1316" s="13"/>
      <c r="D1316" s="29"/>
    </row>
    <row r="1317" spans="2:4" x14ac:dyDescent="0.25">
      <c r="B1317" s="13"/>
      <c r="C1317" s="13"/>
      <c r="D1317" s="29"/>
    </row>
    <row r="1318" spans="2:4" x14ac:dyDescent="0.25">
      <c r="B1318" s="13"/>
      <c r="C1318" s="13"/>
      <c r="D1318" s="29"/>
    </row>
    <row r="1319" spans="2:4" x14ac:dyDescent="0.25">
      <c r="B1319" s="13"/>
      <c r="C1319" s="13"/>
      <c r="D1319" s="29"/>
    </row>
    <row r="1320" spans="2:4" x14ac:dyDescent="0.25">
      <c r="B1320" s="13"/>
      <c r="C1320" s="13"/>
      <c r="D1320" s="29"/>
    </row>
    <row r="1321" spans="2:4" x14ac:dyDescent="0.25">
      <c r="B1321" s="13"/>
      <c r="C1321" s="13"/>
      <c r="D1321" s="29"/>
    </row>
    <row r="1322" spans="2:4" x14ac:dyDescent="0.25">
      <c r="B1322" s="13"/>
      <c r="C1322" s="13"/>
      <c r="D1322" s="29"/>
    </row>
    <row r="1323" spans="2:4" x14ac:dyDescent="0.25">
      <c r="B1323" s="13"/>
      <c r="C1323" s="13"/>
      <c r="D1323" s="29"/>
    </row>
    <row r="1324" spans="2:4" x14ac:dyDescent="0.25">
      <c r="B1324" s="13"/>
      <c r="C1324" s="13"/>
      <c r="D1324" s="29"/>
    </row>
    <row r="1325" spans="2:4" x14ac:dyDescent="0.25">
      <c r="B1325" s="13"/>
      <c r="C1325" s="13"/>
      <c r="D1325" s="29"/>
    </row>
    <row r="1326" spans="2:4" x14ac:dyDescent="0.25">
      <c r="B1326" s="13"/>
      <c r="C1326" s="13"/>
      <c r="D1326" s="29"/>
    </row>
    <row r="1327" spans="2:4" x14ac:dyDescent="0.25">
      <c r="B1327" s="13"/>
      <c r="C1327" s="13"/>
      <c r="D1327" s="29"/>
    </row>
    <row r="1328" spans="2:4" x14ac:dyDescent="0.25">
      <c r="B1328" s="13"/>
      <c r="C1328" s="13"/>
      <c r="D1328" s="29"/>
    </row>
    <row r="1329" spans="2:4" x14ac:dyDescent="0.25">
      <c r="B1329" s="13"/>
      <c r="C1329" s="13"/>
      <c r="D1329" s="29"/>
    </row>
    <row r="1330" spans="2:4" x14ac:dyDescent="0.25">
      <c r="B1330" s="13"/>
      <c r="C1330" s="13"/>
      <c r="D1330" s="29"/>
    </row>
    <row r="1331" spans="2:4" x14ac:dyDescent="0.25">
      <c r="B1331" s="13"/>
      <c r="C1331" s="13"/>
      <c r="D1331" s="29"/>
    </row>
    <row r="1332" spans="2:4" x14ac:dyDescent="0.25">
      <c r="B1332" s="13"/>
      <c r="C1332" s="13"/>
      <c r="D1332" s="29"/>
    </row>
    <row r="1333" spans="2:4" x14ac:dyDescent="0.25">
      <c r="B1333" s="13"/>
      <c r="C1333" s="13"/>
      <c r="D1333" s="29"/>
    </row>
    <row r="1334" spans="2:4" x14ac:dyDescent="0.25">
      <c r="B1334" s="13"/>
      <c r="C1334" s="13"/>
      <c r="D1334" s="29"/>
    </row>
    <row r="1335" spans="2:4" x14ac:dyDescent="0.25">
      <c r="B1335" s="13"/>
      <c r="C1335" s="13"/>
      <c r="D1335" s="29"/>
    </row>
    <row r="1336" spans="2:4" x14ac:dyDescent="0.25">
      <c r="B1336" s="13"/>
      <c r="C1336" s="13"/>
      <c r="D1336" s="29"/>
    </row>
    <row r="1337" spans="2:4" x14ac:dyDescent="0.25">
      <c r="B1337" s="13"/>
      <c r="C1337" s="13"/>
      <c r="D1337" s="29"/>
    </row>
    <row r="1338" spans="2:4" x14ac:dyDescent="0.25">
      <c r="B1338" s="13"/>
      <c r="C1338" s="13"/>
      <c r="D1338" s="29"/>
    </row>
    <row r="1339" spans="2:4" x14ac:dyDescent="0.25">
      <c r="B1339" s="13"/>
      <c r="C1339" s="13"/>
      <c r="D1339" s="29"/>
    </row>
    <row r="1340" spans="2:4" x14ac:dyDescent="0.25">
      <c r="B1340" s="13"/>
      <c r="C1340" s="13"/>
      <c r="D1340" s="29"/>
    </row>
    <row r="1341" spans="2:4" x14ac:dyDescent="0.25">
      <c r="B1341" s="13"/>
      <c r="C1341" s="13"/>
      <c r="D1341" s="29"/>
    </row>
    <row r="1342" spans="2:4" x14ac:dyDescent="0.25">
      <c r="B1342" s="13"/>
      <c r="C1342" s="13"/>
      <c r="D1342" s="29"/>
    </row>
    <row r="1343" spans="2:4" x14ac:dyDescent="0.25">
      <c r="B1343" s="13"/>
      <c r="C1343" s="13"/>
      <c r="D1343" s="29"/>
    </row>
    <row r="1344" spans="2:4" x14ac:dyDescent="0.25">
      <c r="B1344" s="13"/>
      <c r="C1344" s="13"/>
      <c r="D1344" s="29"/>
    </row>
    <row r="1345" spans="2:4" x14ac:dyDescent="0.25">
      <c r="B1345" s="13"/>
      <c r="C1345" s="13"/>
      <c r="D1345" s="29"/>
    </row>
    <row r="1346" spans="2:4" x14ac:dyDescent="0.25">
      <c r="B1346" s="13"/>
      <c r="C1346" s="13"/>
      <c r="D1346" s="29"/>
    </row>
    <row r="1347" spans="2:4" x14ac:dyDescent="0.25">
      <c r="B1347" s="13"/>
      <c r="C1347" s="13"/>
      <c r="D1347" s="29"/>
    </row>
    <row r="1348" spans="2:4" x14ac:dyDescent="0.25">
      <c r="B1348" s="13"/>
      <c r="C1348" s="13"/>
      <c r="D1348" s="29"/>
    </row>
    <row r="1349" spans="2:4" x14ac:dyDescent="0.25">
      <c r="B1349" s="13"/>
      <c r="C1349" s="13"/>
      <c r="D1349" s="29"/>
    </row>
    <row r="1350" spans="2:4" x14ac:dyDescent="0.25">
      <c r="B1350" s="13"/>
      <c r="C1350" s="13"/>
      <c r="D1350" s="29"/>
    </row>
    <row r="1351" spans="2:4" x14ac:dyDescent="0.25">
      <c r="B1351" s="13"/>
      <c r="C1351" s="13"/>
      <c r="D1351" s="29"/>
    </row>
    <row r="1352" spans="2:4" x14ac:dyDescent="0.25">
      <c r="B1352" s="13"/>
      <c r="C1352" s="13"/>
      <c r="D1352" s="29"/>
    </row>
    <row r="1353" spans="2:4" x14ac:dyDescent="0.25">
      <c r="B1353" s="13"/>
      <c r="C1353" s="13"/>
      <c r="D1353" s="29"/>
    </row>
    <row r="1354" spans="2:4" x14ac:dyDescent="0.25">
      <c r="B1354" s="13"/>
      <c r="C1354" s="13"/>
      <c r="D1354" s="29"/>
    </row>
    <row r="1355" spans="2:4" x14ac:dyDescent="0.25">
      <c r="B1355" s="13"/>
      <c r="C1355" s="13"/>
      <c r="D1355" s="29"/>
    </row>
    <row r="1356" spans="2:4" x14ac:dyDescent="0.25">
      <c r="B1356" s="13"/>
      <c r="C1356" s="13"/>
      <c r="D1356" s="29"/>
    </row>
    <row r="1357" spans="2:4" x14ac:dyDescent="0.25">
      <c r="B1357" s="13"/>
      <c r="C1357" s="13"/>
      <c r="D1357" s="29"/>
    </row>
    <row r="1358" spans="2:4" x14ac:dyDescent="0.25">
      <c r="B1358" s="13"/>
      <c r="C1358" s="13"/>
      <c r="D1358" s="29"/>
    </row>
    <row r="1359" spans="2:4" x14ac:dyDescent="0.25">
      <c r="B1359" s="13"/>
      <c r="C1359" s="13"/>
      <c r="D1359" s="29"/>
    </row>
    <row r="1360" spans="2:4" x14ac:dyDescent="0.25">
      <c r="B1360" s="13"/>
      <c r="C1360" s="13"/>
      <c r="D1360" s="29"/>
    </row>
    <row r="1361" spans="2:4" x14ac:dyDescent="0.25">
      <c r="B1361" s="13"/>
      <c r="C1361" s="13"/>
      <c r="D1361" s="29"/>
    </row>
    <row r="1362" spans="2:4" x14ac:dyDescent="0.25">
      <c r="B1362" s="13"/>
      <c r="C1362" s="13"/>
      <c r="D1362" s="29"/>
    </row>
    <row r="1363" spans="2:4" x14ac:dyDescent="0.25">
      <c r="B1363" s="13"/>
      <c r="C1363" s="13"/>
      <c r="D1363" s="29"/>
    </row>
    <row r="1364" spans="2:4" x14ac:dyDescent="0.25">
      <c r="B1364" s="13"/>
      <c r="C1364" s="13"/>
      <c r="D1364" s="29"/>
    </row>
    <row r="1365" spans="2:4" x14ac:dyDescent="0.25">
      <c r="B1365" s="13"/>
      <c r="C1365" s="13"/>
      <c r="D1365" s="29"/>
    </row>
    <row r="1366" spans="2:4" x14ac:dyDescent="0.25">
      <c r="B1366" s="13"/>
      <c r="C1366" s="13"/>
      <c r="D1366" s="29"/>
    </row>
    <row r="1367" spans="2:4" x14ac:dyDescent="0.25">
      <c r="B1367" s="13"/>
      <c r="C1367" s="13"/>
      <c r="D1367" s="29"/>
    </row>
    <row r="1368" spans="2:4" x14ac:dyDescent="0.25">
      <c r="B1368" s="13"/>
      <c r="C1368" s="13"/>
      <c r="D1368" s="29"/>
    </row>
    <row r="1369" spans="2:4" x14ac:dyDescent="0.25">
      <c r="B1369" s="13"/>
      <c r="C1369" s="13"/>
      <c r="D1369" s="29"/>
    </row>
    <row r="1370" spans="2:4" x14ac:dyDescent="0.25">
      <c r="B1370" s="13"/>
      <c r="C1370" s="13"/>
      <c r="D1370" s="29"/>
    </row>
    <row r="1371" spans="2:4" x14ac:dyDescent="0.25">
      <c r="B1371" s="13"/>
      <c r="C1371" s="13"/>
      <c r="D1371" s="29"/>
    </row>
    <row r="1372" spans="2:4" x14ac:dyDescent="0.25">
      <c r="B1372" s="13"/>
      <c r="C1372" s="13"/>
      <c r="D1372" s="29"/>
    </row>
    <row r="1373" spans="2:4" x14ac:dyDescent="0.25">
      <c r="B1373" s="13"/>
      <c r="C1373" s="13"/>
      <c r="D1373" s="29"/>
    </row>
    <row r="1374" spans="2:4" x14ac:dyDescent="0.25">
      <c r="B1374" s="13"/>
      <c r="C1374" s="13"/>
      <c r="D1374" s="29"/>
    </row>
    <row r="1375" spans="2:4" x14ac:dyDescent="0.25">
      <c r="B1375" s="13"/>
      <c r="C1375" s="13"/>
      <c r="D1375" s="29"/>
    </row>
    <row r="1376" spans="2:4" x14ac:dyDescent="0.25">
      <c r="B1376" s="13"/>
      <c r="C1376" s="13"/>
      <c r="D1376" s="29"/>
    </row>
    <row r="1377" spans="2:4" x14ac:dyDescent="0.25">
      <c r="B1377" s="13"/>
      <c r="C1377" s="13"/>
      <c r="D1377" s="29"/>
    </row>
    <row r="1378" spans="2:4" x14ac:dyDescent="0.25">
      <c r="B1378" s="13"/>
      <c r="C1378" s="13"/>
      <c r="D1378" s="29"/>
    </row>
    <row r="1379" spans="2:4" x14ac:dyDescent="0.25">
      <c r="B1379" s="13"/>
      <c r="C1379" s="13"/>
      <c r="D1379" s="29"/>
    </row>
    <row r="1380" spans="2:4" x14ac:dyDescent="0.25">
      <c r="B1380" s="13"/>
      <c r="C1380" s="13"/>
      <c r="D1380" s="29"/>
    </row>
    <row r="1381" spans="2:4" x14ac:dyDescent="0.25">
      <c r="B1381" s="13"/>
      <c r="C1381" s="13"/>
      <c r="D1381" s="29"/>
    </row>
    <row r="1382" spans="2:4" x14ac:dyDescent="0.25">
      <c r="B1382" s="13"/>
      <c r="C1382" s="13"/>
      <c r="D1382" s="29"/>
    </row>
    <row r="1383" spans="2:4" x14ac:dyDescent="0.25">
      <c r="B1383" s="13"/>
      <c r="C1383" s="13"/>
      <c r="D1383" s="29"/>
    </row>
    <row r="1384" spans="2:4" x14ac:dyDescent="0.25">
      <c r="B1384" s="13"/>
      <c r="C1384" s="13"/>
      <c r="D1384" s="29"/>
    </row>
    <row r="1385" spans="2:4" x14ac:dyDescent="0.25">
      <c r="B1385" s="13"/>
      <c r="C1385" s="13"/>
      <c r="D1385" s="29"/>
    </row>
    <row r="1386" spans="2:4" x14ac:dyDescent="0.25">
      <c r="B1386" s="13"/>
      <c r="C1386" s="13"/>
      <c r="D1386" s="29"/>
    </row>
    <row r="1387" spans="2:4" x14ac:dyDescent="0.25">
      <c r="B1387" s="13"/>
      <c r="C1387" s="13"/>
      <c r="D1387" s="29"/>
    </row>
    <row r="1388" spans="2:4" x14ac:dyDescent="0.25">
      <c r="B1388" s="13"/>
      <c r="C1388" s="13"/>
      <c r="D1388" s="29"/>
    </row>
    <row r="1389" spans="2:4" x14ac:dyDescent="0.25">
      <c r="B1389" s="13"/>
      <c r="C1389" s="13"/>
      <c r="D1389" s="29"/>
    </row>
    <row r="1390" spans="2:4" x14ac:dyDescent="0.25">
      <c r="B1390" s="13"/>
      <c r="C1390" s="13"/>
      <c r="D1390" s="29"/>
    </row>
    <row r="1391" spans="2:4" x14ac:dyDescent="0.25">
      <c r="B1391" s="13"/>
      <c r="C1391" s="13"/>
      <c r="D1391" s="29"/>
    </row>
    <row r="1392" spans="2:4" x14ac:dyDescent="0.25">
      <c r="B1392" s="13"/>
      <c r="C1392" s="13"/>
      <c r="D1392" s="29"/>
    </row>
    <row r="1393" spans="2:4" x14ac:dyDescent="0.25">
      <c r="B1393" s="13"/>
      <c r="C1393" s="13"/>
      <c r="D1393" s="29"/>
    </row>
    <row r="1394" spans="2:4" x14ac:dyDescent="0.25">
      <c r="B1394" s="13"/>
      <c r="C1394" s="13"/>
      <c r="D1394" s="29"/>
    </row>
    <row r="1395" spans="2:4" x14ac:dyDescent="0.25">
      <c r="B1395" s="13"/>
      <c r="C1395" s="13"/>
      <c r="D1395" s="29"/>
    </row>
    <row r="1396" spans="2:4" x14ac:dyDescent="0.25">
      <c r="B1396" s="13"/>
      <c r="C1396" s="13"/>
      <c r="D1396" s="29"/>
    </row>
    <row r="1397" spans="2:4" x14ac:dyDescent="0.25">
      <c r="B1397" s="13"/>
      <c r="C1397" s="13"/>
      <c r="D1397" s="29"/>
    </row>
    <row r="1398" spans="2:4" x14ac:dyDescent="0.25">
      <c r="B1398" s="13"/>
      <c r="C1398" s="13"/>
      <c r="D1398" s="29"/>
    </row>
    <row r="1399" spans="2:4" x14ac:dyDescent="0.25">
      <c r="B1399" s="13"/>
      <c r="C1399" s="13"/>
      <c r="D1399" s="29"/>
    </row>
    <row r="1400" spans="2:4" x14ac:dyDescent="0.25">
      <c r="B1400" s="13"/>
      <c r="C1400" s="13"/>
      <c r="D1400" s="29"/>
    </row>
    <row r="1401" spans="2:4" x14ac:dyDescent="0.25">
      <c r="B1401" s="13"/>
      <c r="C1401" s="13"/>
      <c r="D1401" s="29"/>
    </row>
    <row r="1402" spans="2:4" x14ac:dyDescent="0.25">
      <c r="B1402" s="13"/>
      <c r="C1402" s="13"/>
      <c r="D1402" s="29"/>
    </row>
    <row r="1403" spans="2:4" x14ac:dyDescent="0.25">
      <c r="B1403" s="13"/>
      <c r="C1403" s="13"/>
      <c r="D1403" s="29"/>
    </row>
    <row r="1404" spans="2:4" x14ac:dyDescent="0.25">
      <c r="B1404" s="13"/>
      <c r="C1404" s="13"/>
      <c r="D1404" s="29"/>
    </row>
    <row r="1405" spans="2:4" x14ac:dyDescent="0.25">
      <c r="B1405" s="13"/>
      <c r="C1405" s="13"/>
      <c r="D1405" s="29"/>
    </row>
    <row r="1406" spans="2:4" x14ac:dyDescent="0.25">
      <c r="B1406" s="13"/>
      <c r="C1406" s="13"/>
      <c r="D1406" s="29"/>
    </row>
    <row r="1407" spans="2:4" x14ac:dyDescent="0.25">
      <c r="B1407" s="13"/>
      <c r="C1407" s="13"/>
      <c r="D1407" s="29"/>
    </row>
    <row r="1408" spans="2:4" x14ac:dyDescent="0.25">
      <c r="B1408" s="13"/>
      <c r="C1408" s="13"/>
      <c r="D1408" s="29"/>
    </row>
    <row r="1409" spans="2:4" x14ac:dyDescent="0.25">
      <c r="B1409" s="13"/>
      <c r="C1409" s="13"/>
      <c r="D1409" s="29"/>
    </row>
    <row r="1410" spans="2:4" x14ac:dyDescent="0.25">
      <c r="B1410" s="13"/>
      <c r="C1410" s="13"/>
      <c r="D1410" s="29"/>
    </row>
    <row r="1411" spans="2:4" x14ac:dyDescent="0.25">
      <c r="B1411" s="13"/>
      <c r="C1411" s="13"/>
      <c r="D1411" s="29"/>
    </row>
    <row r="1412" spans="2:4" x14ac:dyDescent="0.25">
      <c r="B1412" s="13"/>
      <c r="C1412" s="13"/>
      <c r="D1412" s="29"/>
    </row>
    <row r="1413" spans="2:4" x14ac:dyDescent="0.25">
      <c r="B1413" s="13"/>
      <c r="C1413" s="13"/>
      <c r="D1413" s="29"/>
    </row>
    <row r="1414" spans="2:4" x14ac:dyDescent="0.25">
      <c r="B1414" s="13"/>
      <c r="C1414" s="13"/>
      <c r="D1414" s="29"/>
    </row>
    <row r="1415" spans="2:4" x14ac:dyDescent="0.25">
      <c r="B1415" s="13"/>
      <c r="C1415" s="13"/>
      <c r="D1415" s="29"/>
    </row>
    <row r="1416" spans="2:4" x14ac:dyDescent="0.25">
      <c r="B1416" s="13"/>
      <c r="C1416" s="13"/>
      <c r="D1416" s="29"/>
    </row>
    <row r="1417" spans="2:4" x14ac:dyDescent="0.25">
      <c r="B1417" s="13"/>
      <c r="C1417" s="13"/>
      <c r="D1417" s="29"/>
    </row>
    <row r="1418" spans="2:4" x14ac:dyDescent="0.25">
      <c r="B1418" s="13"/>
      <c r="C1418" s="13"/>
      <c r="D1418" s="29"/>
    </row>
    <row r="1419" spans="2:4" x14ac:dyDescent="0.25">
      <c r="B1419" s="13"/>
      <c r="C1419" s="13"/>
      <c r="D1419" s="29"/>
    </row>
    <row r="1420" spans="2:4" x14ac:dyDescent="0.25">
      <c r="B1420" s="13"/>
      <c r="C1420" s="13"/>
      <c r="D1420" s="29"/>
    </row>
    <row r="1421" spans="2:4" x14ac:dyDescent="0.25">
      <c r="B1421" s="13"/>
      <c r="C1421" s="13"/>
      <c r="D1421" s="29"/>
    </row>
    <row r="1422" spans="2:4" x14ac:dyDescent="0.25">
      <c r="B1422" s="13"/>
      <c r="C1422" s="13"/>
      <c r="D1422" s="29"/>
    </row>
    <row r="1423" spans="2:4" x14ac:dyDescent="0.25">
      <c r="B1423" s="13"/>
      <c r="C1423" s="13"/>
      <c r="D1423" s="29"/>
    </row>
    <row r="1424" spans="2:4" x14ac:dyDescent="0.25">
      <c r="B1424" s="13"/>
      <c r="C1424" s="13"/>
      <c r="D1424" s="29"/>
    </row>
    <row r="1425" spans="2:4" x14ac:dyDescent="0.25">
      <c r="B1425" s="13"/>
      <c r="C1425" s="13"/>
      <c r="D1425" s="29"/>
    </row>
    <row r="1426" spans="2:4" x14ac:dyDescent="0.25">
      <c r="B1426" s="13"/>
      <c r="C1426" s="13"/>
      <c r="D1426" s="29"/>
    </row>
    <row r="1427" spans="2:4" x14ac:dyDescent="0.25">
      <c r="B1427" s="13"/>
      <c r="C1427" s="13"/>
      <c r="D1427" s="29"/>
    </row>
    <row r="1428" spans="2:4" x14ac:dyDescent="0.25">
      <c r="B1428" s="13"/>
      <c r="C1428" s="13"/>
      <c r="D1428" s="29"/>
    </row>
    <row r="1429" spans="2:4" x14ac:dyDescent="0.25">
      <c r="B1429" s="13"/>
      <c r="C1429" s="13"/>
      <c r="D1429" s="29"/>
    </row>
    <row r="1430" spans="2:4" x14ac:dyDescent="0.25">
      <c r="B1430" s="13"/>
      <c r="C1430" s="13"/>
      <c r="D1430" s="29"/>
    </row>
    <row r="1431" spans="2:4" x14ac:dyDescent="0.25">
      <c r="B1431" s="13"/>
      <c r="C1431" s="13"/>
      <c r="D1431" s="29"/>
    </row>
    <row r="1432" spans="2:4" x14ac:dyDescent="0.25">
      <c r="B1432" s="13"/>
      <c r="C1432" s="13"/>
      <c r="D1432" s="29"/>
    </row>
    <row r="1433" spans="2:4" x14ac:dyDescent="0.25">
      <c r="B1433" s="13"/>
      <c r="C1433" s="13"/>
      <c r="D1433" s="29"/>
    </row>
    <row r="1434" spans="2:4" x14ac:dyDescent="0.25">
      <c r="B1434" s="13"/>
      <c r="C1434" s="13"/>
      <c r="D1434" s="29"/>
    </row>
    <row r="1435" spans="2:4" x14ac:dyDescent="0.25">
      <c r="B1435" s="13"/>
      <c r="C1435" s="13"/>
      <c r="D1435" s="29"/>
    </row>
    <row r="1436" spans="2:4" x14ac:dyDescent="0.25">
      <c r="B1436" s="13"/>
      <c r="C1436" s="13"/>
      <c r="D1436" s="29"/>
    </row>
    <row r="1437" spans="2:4" x14ac:dyDescent="0.25">
      <c r="B1437" s="13"/>
      <c r="C1437" s="13"/>
      <c r="D1437" s="29"/>
    </row>
    <row r="1438" spans="2:4" x14ac:dyDescent="0.25">
      <c r="B1438" s="13"/>
      <c r="C1438" s="13"/>
      <c r="D1438" s="29"/>
    </row>
    <row r="1439" spans="2:4" x14ac:dyDescent="0.25">
      <c r="B1439" s="13"/>
      <c r="C1439" s="13"/>
      <c r="D1439" s="29"/>
    </row>
    <row r="1440" spans="2:4" x14ac:dyDescent="0.25">
      <c r="B1440" s="13"/>
      <c r="C1440" s="13"/>
      <c r="D1440" s="29"/>
    </row>
    <row r="1441" spans="2:4" x14ac:dyDescent="0.25">
      <c r="B1441" s="13"/>
      <c r="C1441" s="13"/>
      <c r="D1441" s="29"/>
    </row>
    <row r="1442" spans="2:4" x14ac:dyDescent="0.25">
      <c r="B1442" s="13"/>
      <c r="C1442" s="13"/>
      <c r="D1442" s="29"/>
    </row>
    <row r="1443" spans="2:4" x14ac:dyDescent="0.25">
      <c r="B1443" s="13"/>
      <c r="C1443" s="13"/>
      <c r="D1443" s="29"/>
    </row>
    <row r="1444" spans="2:4" x14ac:dyDescent="0.25">
      <c r="B1444" s="13"/>
      <c r="C1444" s="13"/>
      <c r="D1444" s="29"/>
    </row>
    <row r="1445" spans="2:4" x14ac:dyDescent="0.25">
      <c r="B1445" s="13"/>
      <c r="C1445" s="13"/>
      <c r="D1445" s="29"/>
    </row>
    <row r="1446" spans="2:4" x14ac:dyDescent="0.25">
      <c r="B1446" s="13"/>
      <c r="C1446" s="13"/>
      <c r="D1446" s="29"/>
    </row>
    <row r="1447" spans="2:4" x14ac:dyDescent="0.25">
      <c r="B1447" s="13"/>
      <c r="C1447" s="13"/>
      <c r="D1447" s="29"/>
    </row>
    <row r="1448" spans="2:4" x14ac:dyDescent="0.25">
      <c r="B1448" s="13"/>
      <c r="C1448" s="13"/>
      <c r="D1448" s="29"/>
    </row>
    <row r="1449" spans="2:4" x14ac:dyDescent="0.25">
      <c r="B1449" s="13"/>
      <c r="C1449" s="13"/>
      <c r="D1449" s="29"/>
    </row>
    <row r="1450" spans="2:4" x14ac:dyDescent="0.25">
      <c r="B1450" s="13"/>
      <c r="C1450" s="13"/>
      <c r="D1450" s="29"/>
    </row>
    <row r="1451" spans="2:4" x14ac:dyDescent="0.25">
      <c r="B1451" s="13"/>
      <c r="C1451" s="13"/>
      <c r="D1451" s="29"/>
    </row>
    <row r="1452" spans="2:4" x14ac:dyDescent="0.25">
      <c r="B1452" s="13"/>
      <c r="C1452" s="13"/>
      <c r="D1452" s="29"/>
    </row>
    <row r="1453" spans="2:4" x14ac:dyDescent="0.25">
      <c r="B1453" s="13"/>
      <c r="C1453" s="13"/>
      <c r="D1453" s="29"/>
    </row>
    <row r="1454" spans="2:4" x14ac:dyDescent="0.25">
      <c r="B1454" s="13"/>
      <c r="C1454" s="13"/>
      <c r="D1454" s="29"/>
    </row>
    <row r="1455" spans="2:4" x14ac:dyDescent="0.25">
      <c r="B1455" s="13"/>
      <c r="C1455" s="13"/>
      <c r="D1455" s="29"/>
    </row>
    <row r="1456" spans="2:4" x14ac:dyDescent="0.25">
      <c r="B1456" s="13"/>
      <c r="C1456" s="13"/>
      <c r="D1456" s="29"/>
    </row>
    <row r="1457" spans="2:4" x14ac:dyDescent="0.25">
      <c r="B1457" s="13"/>
      <c r="C1457" s="13"/>
      <c r="D1457" s="29"/>
    </row>
    <row r="1458" spans="2:4" x14ac:dyDescent="0.25">
      <c r="B1458" s="13"/>
      <c r="C1458" s="13"/>
      <c r="D1458" s="29"/>
    </row>
    <row r="1459" spans="2:4" x14ac:dyDescent="0.25">
      <c r="B1459" s="13"/>
      <c r="C1459" s="13"/>
      <c r="D1459" s="29"/>
    </row>
    <row r="1460" spans="2:4" x14ac:dyDescent="0.25">
      <c r="B1460" s="13"/>
      <c r="C1460" s="13"/>
      <c r="D1460" s="29"/>
    </row>
    <row r="1461" spans="2:4" x14ac:dyDescent="0.25">
      <c r="B1461" s="13"/>
      <c r="C1461" s="13"/>
      <c r="D1461" s="29"/>
    </row>
    <row r="1462" spans="2:4" x14ac:dyDescent="0.25">
      <c r="B1462" s="13"/>
      <c r="C1462" s="13"/>
      <c r="D1462" s="29"/>
    </row>
    <row r="1463" spans="2:4" x14ac:dyDescent="0.25">
      <c r="B1463" s="13"/>
      <c r="C1463" s="13"/>
      <c r="D1463" s="29"/>
    </row>
    <row r="1464" spans="2:4" x14ac:dyDescent="0.25">
      <c r="B1464" s="13"/>
      <c r="C1464" s="13"/>
      <c r="D1464" s="29"/>
    </row>
    <row r="1465" spans="2:4" x14ac:dyDescent="0.25">
      <c r="B1465" s="13"/>
      <c r="C1465" s="13"/>
      <c r="D1465" s="29"/>
    </row>
    <row r="1466" spans="2:4" x14ac:dyDescent="0.25">
      <c r="B1466" s="13"/>
      <c r="C1466" s="13"/>
      <c r="D1466" s="29"/>
    </row>
    <row r="1467" spans="2:4" x14ac:dyDescent="0.25">
      <c r="B1467" s="13"/>
      <c r="C1467" s="13"/>
      <c r="D1467" s="29"/>
    </row>
    <row r="1468" spans="2:4" x14ac:dyDescent="0.25">
      <c r="B1468" s="13"/>
      <c r="C1468" s="13"/>
      <c r="D1468" s="29"/>
    </row>
    <row r="1469" spans="2:4" x14ac:dyDescent="0.25">
      <c r="B1469" s="13"/>
      <c r="C1469" s="13"/>
      <c r="D1469" s="29"/>
    </row>
    <row r="1470" spans="2:4" x14ac:dyDescent="0.25">
      <c r="B1470" s="13"/>
      <c r="C1470" s="13"/>
      <c r="D1470" s="29"/>
    </row>
    <row r="1471" spans="2:4" x14ac:dyDescent="0.25">
      <c r="B1471" s="13"/>
      <c r="C1471" s="13"/>
      <c r="D1471" s="29"/>
    </row>
    <row r="1472" spans="2:4" x14ac:dyDescent="0.25">
      <c r="B1472" s="13"/>
      <c r="C1472" s="13"/>
      <c r="D1472" s="29"/>
    </row>
    <row r="1473" spans="2:4" x14ac:dyDescent="0.25">
      <c r="B1473" s="13"/>
      <c r="C1473" s="13"/>
      <c r="D1473" s="29"/>
    </row>
    <row r="1474" spans="2:4" x14ac:dyDescent="0.25">
      <c r="B1474" s="13"/>
      <c r="C1474" s="13"/>
      <c r="D1474" s="29"/>
    </row>
    <row r="1475" spans="2:4" x14ac:dyDescent="0.25">
      <c r="B1475" s="13"/>
      <c r="C1475" s="13"/>
      <c r="D1475" s="29"/>
    </row>
    <row r="1476" spans="2:4" x14ac:dyDescent="0.25">
      <c r="B1476" s="13"/>
      <c r="C1476" s="13"/>
      <c r="D1476" s="29"/>
    </row>
    <row r="1477" spans="2:4" x14ac:dyDescent="0.25">
      <c r="B1477" s="13"/>
      <c r="C1477" s="13"/>
      <c r="D1477" s="29"/>
    </row>
    <row r="1478" spans="2:4" x14ac:dyDescent="0.25">
      <c r="B1478" s="13"/>
      <c r="C1478" s="13"/>
      <c r="D1478" s="29"/>
    </row>
    <row r="1479" spans="2:4" x14ac:dyDescent="0.25">
      <c r="B1479" s="13"/>
      <c r="C1479" s="13"/>
      <c r="D1479" s="29"/>
    </row>
    <row r="1480" spans="2:4" x14ac:dyDescent="0.25">
      <c r="B1480" s="13"/>
      <c r="C1480" s="13"/>
      <c r="D1480" s="29"/>
    </row>
    <row r="1481" spans="2:4" x14ac:dyDescent="0.25">
      <c r="B1481" s="13"/>
      <c r="C1481" s="13"/>
      <c r="D1481" s="29"/>
    </row>
    <row r="1482" spans="2:4" x14ac:dyDescent="0.25">
      <c r="B1482" s="13"/>
      <c r="C1482" s="13"/>
      <c r="D1482" s="29"/>
    </row>
    <row r="1483" spans="2:4" x14ac:dyDescent="0.25">
      <c r="B1483" s="13"/>
      <c r="C1483" s="13"/>
      <c r="D1483" s="29"/>
    </row>
    <row r="1484" spans="2:4" x14ac:dyDescent="0.25">
      <c r="B1484" s="13"/>
      <c r="C1484" s="13"/>
      <c r="D1484" s="29"/>
    </row>
    <row r="1485" spans="2:4" x14ac:dyDescent="0.25">
      <c r="B1485" s="13"/>
      <c r="C1485" s="13"/>
      <c r="D1485" s="29"/>
    </row>
    <row r="1486" spans="2:4" x14ac:dyDescent="0.25">
      <c r="B1486" s="13"/>
      <c r="C1486" s="13"/>
      <c r="D1486" s="29"/>
    </row>
    <row r="1487" spans="2:4" x14ac:dyDescent="0.25">
      <c r="B1487" s="13"/>
      <c r="C1487" s="13"/>
      <c r="D1487" s="29"/>
    </row>
    <row r="1488" spans="2:4" x14ac:dyDescent="0.25">
      <c r="B1488" s="13"/>
      <c r="C1488" s="13"/>
      <c r="D1488" s="29"/>
    </row>
    <row r="1489" spans="2:4" x14ac:dyDescent="0.25">
      <c r="B1489" s="13"/>
      <c r="C1489" s="13"/>
      <c r="D1489" s="29"/>
    </row>
    <row r="1490" spans="2:4" x14ac:dyDescent="0.25">
      <c r="B1490" s="13"/>
      <c r="C1490" s="13"/>
      <c r="D1490" s="29"/>
    </row>
    <row r="1491" spans="2:4" x14ac:dyDescent="0.25">
      <c r="B1491" s="13"/>
      <c r="C1491" s="13"/>
      <c r="D1491" s="29"/>
    </row>
    <row r="1492" spans="2:4" x14ac:dyDescent="0.25">
      <c r="B1492" s="13"/>
      <c r="C1492" s="13"/>
      <c r="D1492" s="29"/>
    </row>
    <row r="1493" spans="2:4" x14ac:dyDescent="0.25">
      <c r="B1493" s="13"/>
      <c r="C1493" s="13"/>
      <c r="D1493" s="29"/>
    </row>
    <row r="1494" spans="2:4" x14ac:dyDescent="0.25">
      <c r="B1494" s="13"/>
      <c r="C1494" s="13"/>
      <c r="D1494" s="29"/>
    </row>
    <row r="1495" spans="2:4" x14ac:dyDescent="0.25">
      <c r="B1495" s="13"/>
      <c r="C1495" s="13"/>
      <c r="D1495" s="29"/>
    </row>
    <row r="1496" spans="2:4" x14ac:dyDescent="0.25">
      <c r="B1496" s="13"/>
      <c r="C1496" s="13"/>
      <c r="D1496" s="29"/>
    </row>
    <row r="1497" spans="2:4" x14ac:dyDescent="0.25">
      <c r="B1497" s="13"/>
      <c r="C1497" s="13"/>
      <c r="D1497" s="29"/>
    </row>
    <row r="1498" spans="2:4" x14ac:dyDescent="0.25">
      <c r="B1498" s="13"/>
      <c r="C1498" s="13"/>
      <c r="D1498" s="29"/>
    </row>
    <row r="1499" spans="2:4" x14ac:dyDescent="0.25">
      <c r="B1499" s="13"/>
      <c r="C1499" s="13"/>
      <c r="D1499" s="29"/>
    </row>
    <row r="1500" spans="2:4" x14ac:dyDescent="0.25">
      <c r="B1500" s="13"/>
      <c r="C1500" s="13"/>
      <c r="D1500" s="29"/>
    </row>
    <row r="1501" spans="2:4" x14ac:dyDescent="0.25">
      <c r="B1501" s="13"/>
      <c r="C1501" s="13"/>
      <c r="D1501" s="29"/>
    </row>
    <row r="1502" spans="2:4" x14ac:dyDescent="0.25">
      <c r="B1502" s="13"/>
      <c r="C1502" s="13"/>
      <c r="D1502" s="29"/>
    </row>
    <row r="1503" spans="2:4" x14ac:dyDescent="0.25">
      <c r="B1503" s="13"/>
      <c r="C1503" s="13"/>
      <c r="D1503" s="29"/>
    </row>
    <row r="1504" spans="2:4" x14ac:dyDescent="0.25">
      <c r="B1504" s="13"/>
      <c r="C1504" s="13"/>
      <c r="D1504" s="29"/>
    </row>
    <row r="1505" spans="2:4" x14ac:dyDescent="0.25">
      <c r="B1505" s="13"/>
      <c r="C1505" s="13"/>
      <c r="D1505" s="29"/>
    </row>
    <row r="1506" spans="2:4" x14ac:dyDescent="0.25">
      <c r="B1506" s="13"/>
      <c r="C1506" s="13"/>
      <c r="D1506" s="29"/>
    </row>
    <row r="1507" spans="2:4" x14ac:dyDescent="0.25">
      <c r="B1507" s="13"/>
      <c r="C1507" s="13"/>
      <c r="D1507" s="29"/>
    </row>
    <row r="1508" spans="2:4" x14ac:dyDescent="0.25">
      <c r="B1508" s="13"/>
      <c r="C1508" s="13"/>
      <c r="D1508" s="29"/>
    </row>
    <row r="1509" spans="2:4" x14ac:dyDescent="0.25">
      <c r="B1509" s="13"/>
      <c r="C1509" s="13"/>
      <c r="D1509" s="29"/>
    </row>
    <row r="1510" spans="2:4" x14ac:dyDescent="0.25">
      <c r="B1510" s="13"/>
      <c r="C1510" s="13"/>
      <c r="D1510" s="29"/>
    </row>
    <row r="1511" spans="2:4" x14ac:dyDescent="0.25">
      <c r="B1511" s="13"/>
      <c r="C1511" s="13"/>
      <c r="D1511" s="29"/>
    </row>
    <row r="1512" spans="2:4" x14ac:dyDescent="0.25">
      <c r="B1512" s="13"/>
      <c r="C1512" s="13"/>
      <c r="D1512" s="29"/>
    </row>
    <row r="1513" spans="2:4" x14ac:dyDescent="0.25">
      <c r="B1513" s="13"/>
      <c r="C1513" s="13"/>
      <c r="D1513" s="29"/>
    </row>
    <row r="1514" spans="2:4" x14ac:dyDescent="0.25">
      <c r="B1514" s="13"/>
      <c r="C1514" s="13"/>
      <c r="D1514" s="29"/>
    </row>
    <row r="1515" spans="2:4" x14ac:dyDescent="0.25">
      <c r="B1515" s="13"/>
      <c r="C1515" s="13"/>
      <c r="D1515" s="29"/>
    </row>
    <row r="1516" spans="2:4" x14ac:dyDescent="0.25">
      <c r="B1516" s="13"/>
      <c r="C1516" s="13"/>
      <c r="D1516" s="29"/>
    </row>
    <row r="1517" spans="2:4" x14ac:dyDescent="0.25">
      <c r="B1517" s="13"/>
      <c r="C1517" s="13"/>
      <c r="D1517" s="29"/>
    </row>
    <row r="1518" spans="2:4" x14ac:dyDescent="0.25">
      <c r="B1518" s="13"/>
      <c r="C1518" s="13"/>
      <c r="D1518" s="29"/>
    </row>
    <row r="1519" spans="2:4" x14ac:dyDescent="0.25">
      <c r="B1519" s="13"/>
      <c r="C1519" s="13"/>
      <c r="D1519" s="29"/>
    </row>
    <row r="1520" spans="2:4" x14ac:dyDescent="0.25">
      <c r="B1520" s="13"/>
      <c r="C1520" s="13"/>
      <c r="D1520" s="29"/>
    </row>
    <row r="1521" spans="2:4" x14ac:dyDescent="0.25">
      <c r="B1521" s="13"/>
      <c r="C1521" s="13"/>
      <c r="D1521" s="29"/>
    </row>
    <row r="1522" spans="2:4" x14ac:dyDescent="0.25">
      <c r="B1522" s="13"/>
      <c r="C1522" s="13"/>
      <c r="D1522" s="29"/>
    </row>
    <row r="1523" spans="2:4" x14ac:dyDescent="0.25">
      <c r="B1523" s="13"/>
      <c r="C1523" s="13"/>
      <c r="D1523" s="29"/>
    </row>
    <row r="1524" spans="2:4" x14ac:dyDescent="0.25">
      <c r="B1524" s="13"/>
      <c r="C1524" s="13"/>
      <c r="D1524" s="29"/>
    </row>
    <row r="1525" spans="2:4" x14ac:dyDescent="0.25">
      <c r="B1525" s="13"/>
      <c r="C1525" s="13"/>
      <c r="D1525" s="29"/>
    </row>
    <row r="1526" spans="2:4" x14ac:dyDescent="0.25">
      <c r="B1526" s="13"/>
      <c r="C1526" s="13"/>
      <c r="D1526" s="29"/>
    </row>
    <row r="1527" spans="2:4" x14ac:dyDescent="0.25">
      <c r="B1527" s="13"/>
      <c r="C1527" s="13"/>
      <c r="D1527" s="29"/>
    </row>
    <row r="1528" spans="2:4" x14ac:dyDescent="0.25">
      <c r="B1528" s="13"/>
      <c r="C1528" s="13"/>
      <c r="D1528" s="29"/>
    </row>
    <row r="1529" spans="2:4" x14ac:dyDescent="0.25">
      <c r="B1529" s="13"/>
      <c r="C1529" s="13"/>
      <c r="D1529" s="29"/>
    </row>
    <row r="1530" spans="2:4" x14ac:dyDescent="0.25">
      <c r="B1530" s="13"/>
      <c r="C1530" s="13"/>
      <c r="D1530" s="29"/>
    </row>
    <row r="1531" spans="2:4" x14ac:dyDescent="0.25">
      <c r="B1531" s="13"/>
      <c r="C1531" s="13"/>
      <c r="D1531" s="29"/>
    </row>
    <row r="1532" spans="2:4" x14ac:dyDescent="0.25">
      <c r="B1532" s="13"/>
      <c r="C1532" s="13"/>
      <c r="D1532" s="29"/>
    </row>
    <row r="1533" spans="2:4" x14ac:dyDescent="0.25">
      <c r="B1533" s="13"/>
      <c r="C1533" s="13"/>
      <c r="D1533" s="29"/>
    </row>
    <row r="1534" spans="2:4" x14ac:dyDescent="0.25">
      <c r="B1534" s="13"/>
      <c r="C1534" s="13"/>
      <c r="D1534" s="29"/>
    </row>
    <row r="1535" spans="2:4" x14ac:dyDescent="0.25">
      <c r="B1535" s="13"/>
      <c r="C1535" s="13"/>
      <c r="D1535" s="29"/>
    </row>
    <row r="1536" spans="2:4" x14ac:dyDescent="0.25">
      <c r="B1536" s="13"/>
      <c r="C1536" s="13"/>
      <c r="D1536" s="29"/>
    </row>
    <row r="1537" spans="2:4" x14ac:dyDescent="0.25">
      <c r="B1537" s="13"/>
      <c r="C1537" s="13"/>
      <c r="D1537" s="29"/>
    </row>
    <row r="1538" spans="2:4" x14ac:dyDescent="0.25">
      <c r="B1538" s="13"/>
      <c r="C1538" s="13"/>
      <c r="D1538" s="29"/>
    </row>
    <row r="1539" spans="2:4" x14ac:dyDescent="0.25">
      <c r="B1539" s="13"/>
      <c r="C1539" s="13"/>
      <c r="D1539" s="29"/>
    </row>
    <row r="1540" spans="2:4" x14ac:dyDescent="0.25">
      <c r="B1540" s="13"/>
      <c r="C1540" s="13"/>
      <c r="D1540" s="29"/>
    </row>
    <row r="1541" spans="2:4" x14ac:dyDescent="0.25">
      <c r="B1541" s="13"/>
      <c r="C1541" s="13"/>
      <c r="D1541" s="29"/>
    </row>
    <row r="1542" spans="2:4" x14ac:dyDescent="0.25">
      <c r="B1542" s="13"/>
      <c r="C1542" s="13"/>
      <c r="D1542" s="29"/>
    </row>
    <row r="1543" spans="2:4" x14ac:dyDescent="0.25">
      <c r="B1543" s="13"/>
      <c r="C1543" s="13"/>
      <c r="D1543" s="29"/>
    </row>
    <row r="1544" spans="2:4" x14ac:dyDescent="0.25">
      <c r="B1544" s="13"/>
      <c r="C1544" s="13"/>
      <c r="D1544" s="29"/>
    </row>
    <row r="1545" spans="2:4" x14ac:dyDescent="0.25">
      <c r="B1545" s="13"/>
      <c r="C1545" s="13"/>
      <c r="D1545" s="29"/>
    </row>
    <row r="1546" spans="2:4" x14ac:dyDescent="0.25">
      <c r="B1546" s="13"/>
      <c r="C1546" s="13"/>
      <c r="D1546" s="29"/>
    </row>
    <row r="1547" spans="2:4" x14ac:dyDescent="0.25">
      <c r="B1547" s="13"/>
      <c r="C1547" s="13"/>
      <c r="D1547" s="29"/>
    </row>
    <row r="1548" spans="2:4" x14ac:dyDescent="0.25">
      <c r="B1548" s="13"/>
      <c r="C1548" s="13"/>
      <c r="D1548" s="29"/>
    </row>
    <row r="1549" spans="2:4" x14ac:dyDescent="0.25">
      <c r="B1549" s="13"/>
      <c r="C1549" s="13"/>
      <c r="D1549" s="29"/>
    </row>
    <row r="1550" spans="2:4" x14ac:dyDescent="0.25">
      <c r="B1550" s="13"/>
      <c r="C1550" s="13"/>
      <c r="D1550" s="29"/>
    </row>
    <row r="1551" spans="2:4" x14ac:dyDescent="0.25">
      <c r="B1551" s="13"/>
      <c r="C1551" s="13"/>
      <c r="D1551" s="29"/>
    </row>
    <row r="1552" spans="2:4" x14ac:dyDescent="0.25">
      <c r="B1552" s="13"/>
      <c r="C1552" s="13"/>
      <c r="D1552" s="29"/>
    </row>
    <row r="1553" spans="2:4" x14ac:dyDescent="0.25">
      <c r="B1553" s="13"/>
      <c r="C1553" s="13"/>
      <c r="D1553" s="29"/>
    </row>
    <row r="1554" spans="2:4" x14ac:dyDescent="0.25">
      <c r="B1554" s="13"/>
      <c r="C1554" s="13"/>
      <c r="D1554" s="29"/>
    </row>
    <row r="1555" spans="2:4" x14ac:dyDescent="0.25">
      <c r="B1555" s="13"/>
      <c r="C1555" s="13"/>
      <c r="D1555" s="29"/>
    </row>
    <row r="1556" spans="2:4" x14ac:dyDescent="0.25">
      <c r="B1556" s="13"/>
      <c r="C1556" s="13"/>
      <c r="D1556" s="29"/>
    </row>
    <row r="1557" spans="2:4" x14ac:dyDescent="0.25">
      <c r="B1557" s="13"/>
      <c r="C1557" s="13"/>
      <c r="D1557" s="29"/>
    </row>
    <row r="1558" spans="2:4" x14ac:dyDescent="0.25">
      <c r="B1558" s="13"/>
      <c r="C1558" s="13"/>
      <c r="D1558" s="29"/>
    </row>
    <row r="1559" spans="2:4" x14ac:dyDescent="0.25">
      <c r="B1559" s="13"/>
      <c r="C1559" s="13"/>
      <c r="D1559" s="29"/>
    </row>
    <row r="1560" spans="2:4" x14ac:dyDescent="0.25">
      <c r="B1560" s="13"/>
      <c r="C1560" s="13"/>
      <c r="D1560" s="29"/>
    </row>
    <row r="1561" spans="2:4" x14ac:dyDescent="0.25">
      <c r="B1561" s="13"/>
      <c r="C1561" s="13"/>
      <c r="D1561" s="29"/>
    </row>
    <row r="1562" spans="2:4" x14ac:dyDescent="0.25">
      <c r="B1562" s="13"/>
      <c r="C1562" s="13"/>
      <c r="D1562" s="29"/>
    </row>
    <row r="1563" spans="2:4" x14ac:dyDescent="0.25">
      <c r="B1563" s="13"/>
      <c r="C1563" s="13"/>
      <c r="D1563" s="29"/>
    </row>
    <row r="1564" spans="2:4" x14ac:dyDescent="0.25">
      <c r="B1564" s="13"/>
      <c r="C1564" s="13"/>
      <c r="D1564" s="29"/>
    </row>
    <row r="1565" spans="2:4" x14ac:dyDescent="0.25">
      <c r="B1565" s="13"/>
      <c r="C1565" s="13"/>
      <c r="D1565" s="29"/>
    </row>
    <row r="1566" spans="2:4" x14ac:dyDescent="0.25">
      <c r="B1566" s="13"/>
      <c r="C1566" s="13"/>
      <c r="D1566" s="29"/>
    </row>
    <row r="1567" spans="2:4" x14ac:dyDescent="0.25">
      <c r="B1567" s="13"/>
      <c r="C1567" s="13"/>
      <c r="D1567" s="29"/>
    </row>
    <row r="1568" spans="2:4" x14ac:dyDescent="0.25">
      <c r="B1568" s="13"/>
      <c r="C1568" s="13"/>
      <c r="D1568" s="29"/>
    </row>
    <row r="1569" spans="2:4" x14ac:dyDescent="0.25">
      <c r="B1569" s="13"/>
      <c r="C1569" s="13"/>
      <c r="D1569" s="29"/>
    </row>
    <row r="1570" spans="2:4" x14ac:dyDescent="0.25">
      <c r="B1570" s="13"/>
      <c r="C1570" s="13"/>
      <c r="D1570" s="29"/>
    </row>
    <row r="1571" spans="2:4" x14ac:dyDescent="0.25">
      <c r="B1571" s="13"/>
      <c r="C1571" s="13"/>
      <c r="D1571" s="29"/>
    </row>
    <row r="1572" spans="2:4" x14ac:dyDescent="0.25">
      <c r="B1572" s="13"/>
      <c r="C1572" s="13"/>
      <c r="D1572" s="29"/>
    </row>
    <row r="1573" spans="2:4" x14ac:dyDescent="0.25">
      <c r="B1573" s="13"/>
      <c r="C1573" s="13"/>
      <c r="D1573" s="29"/>
    </row>
    <row r="1574" spans="2:4" x14ac:dyDescent="0.25">
      <c r="B1574" s="13"/>
      <c r="C1574" s="13"/>
      <c r="D1574" s="29"/>
    </row>
    <row r="1575" spans="2:4" x14ac:dyDescent="0.25">
      <c r="B1575" s="13"/>
      <c r="C1575" s="13"/>
      <c r="D1575" s="29"/>
    </row>
    <row r="1576" spans="2:4" x14ac:dyDescent="0.25">
      <c r="B1576" s="13"/>
      <c r="C1576" s="13"/>
      <c r="D1576" s="29"/>
    </row>
    <row r="1577" spans="2:4" x14ac:dyDescent="0.25">
      <c r="B1577" s="13"/>
      <c r="C1577" s="13"/>
      <c r="D1577" s="29"/>
    </row>
    <row r="1578" spans="2:4" x14ac:dyDescent="0.25">
      <c r="B1578" s="13"/>
      <c r="C1578" s="13"/>
      <c r="D1578" s="29"/>
    </row>
    <row r="1579" spans="2:4" x14ac:dyDescent="0.25">
      <c r="B1579" s="13"/>
      <c r="C1579" s="13"/>
      <c r="D1579" s="29"/>
    </row>
    <row r="1580" spans="2:4" x14ac:dyDescent="0.25">
      <c r="B1580" s="13"/>
      <c r="C1580" s="13"/>
      <c r="D1580" s="29"/>
    </row>
    <row r="1581" spans="2:4" x14ac:dyDescent="0.25">
      <c r="B1581" s="13"/>
      <c r="C1581" s="13"/>
      <c r="D1581" s="29"/>
    </row>
    <row r="1582" spans="2:4" x14ac:dyDescent="0.25">
      <c r="B1582" s="13"/>
      <c r="C1582" s="13"/>
      <c r="D1582" s="29"/>
    </row>
    <row r="1583" spans="2:4" x14ac:dyDescent="0.25">
      <c r="B1583" s="13"/>
      <c r="C1583" s="13"/>
      <c r="D1583" s="29"/>
    </row>
    <row r="1584" spans="2:4" x14ac:dyDescent="0.25">
      <c r="B1584" s="13"/>
      <c r="C1584" s="13"/>
      <c r="D1584" s="29"/>
    </row>
    <row r="1585" spans="2:4" x14ac:dyDescent="0.25">
      <c r="B1585" s="13"/>
      <c r="C1585" s="13"/>
      <c r="D1585" s="29"/>
    </row>
    <row r="1586" spans="2:4" x14ac:dyDescent="0.25">
      <c r="B1586" s="13"/>
      <c r="C1586" s="13"/>
      <c r="D1586" s="29"/>
    </row>
    <row r="1587" spans="2:4" x14ac:dyDescent="0.25">
      <c r="B1587" s="13"/>
      <c r="C1587" s="13"/>
      <c r="D1587" s="29"/>
    </row>
    <row r="1588" spans="2:4" x14ac:dyDescent="0.25">
      <c r="B1588" s="13"/>
      <c r="C1588" s="13"/>
      <c r="D1588" s="29"/>
    </row>
    <row r="1589" spans="2:4" x14ac:dyDescent="0.25">
      <c r="B1589" s="13"/>
      <c r="C1589" s="13"/>
      <c r="D1589" s="29"/>
    </row>
    <row r="1590" spans="2:4" x14ac:dyDescent="0.25">
      <c r="B1590" s="13"/>
      <c r="C1590" s="13"/>
      <c r="D1590" s="29"/>
    </row>
    <row r="1591" spans="2:4" x14ac:dyDescent="0.25">
      <c r="B1591" s="13"/>
      <c r="C1591" s="13"/>
      <c r="D1591" s="29"/>
    </row>
    <row r="1592" spans="2:4" x14ac:dyDescent="0.25">
      <c r="B1592" s="13"/>
      <c r="C1592" s="13"/>
      <c r="D1592" s="29"/>
    </row>
    <row r="1593" spans="2:4" x14ac:dyDescent="0.25">
      <c r="B1593" s="13"/>
      <c r="C1593" s="13"/>
      <c r="D1593" s="29"/>
    </row>
    <row r="1594" spans="2:4" x14ac:dyDescent="0.25">
      <c r="B1594" s="13"/>
      <c r="C1594" s="13"/>
      <c r="D1594" s="29"/>
    </row>
    <row r="1595" spans="2:4" x14ac:dyDescent="0.25">
      <c r="B1595" s="13"/>
      <c r="C1595" s="13"/>
      <c r="D1595" s="29"/>
    </row>
    <row r="1596" spans="2:4" x14ac:dyDescent="0.25">
      <c r="B1596" s="13"/>
      <c r="C1596" s="13"/>
      <c r="D1596" s="29"/>
    </row>
    <row r="1597" spans="2:4" x14ac:dyDescent="0.25">
      <c r="B1597" s="13"/>
      <c r="C1597" s="13"/>
      <c r="D1597" s="29"/>
    </row>
    <row r="1598" spans="2:4" x14ac:dyDescent="0.25">
      <c r="B1598" s="13"/>
      <c r="C1598" s="13"/>
      <c r="D1598" s="29"/>
    </row>
    <row r="1599" spans="2:4" x14ac:dyDescent="0.25">
      <c r="B1599" s="13"/>
      <c r="C1599" s="13"/>
      <c r="D1599" s="29"/>
    </row>
    <row r="1600" spans="2:4" x14ac:dyDescent="0.25">
      <c r="B1600" s="13"/>
      <c r="C1600" s="13"/>
      <c r="D1600" s="29"/>
    </row>
    <row r="1601" spans="2:4" x14ac:dyDescent="0.25">
      <c r="B1601" s="13"/>
      <c r="C1601" s="13"/>
      <c r="D1601" s="29"/>
    </row>
    <row r="1602" spans="2:4" x14ac:dyDescent="0.25">
      <c r="B1602" s="13"/>
      <c r="C1602" s="13"/>
      <c r="D1602" s="29"/>
    </row>
    <row r="1603" spans="2:4" x14ac:dyDescent="0.25">
      <c r="B1603" s="13"/>
      <c r="C1603" s="13"/>
      <c r="D1603" s="29"/>
    </row>
    <row r="1604" spans="2:4" x14ac:dyDescent="0.25">
      <c r="B1604" s="13"/>
      <c r="C1604" s="13"/>
      <c r="D1604" s="29"/>
    </row>
    <row r="1605" spans="2:4" x14ac:dyDescent="0.25">
      <c r="B1605" s="13"/>
      <c r="C1605" s="13"/>
      <c r="D1605" s="29"/>
    </row>
    <row r="1606" spans="2:4" x14ac:dyDescent="0.25">
      <c r="B1606" s="13"/>
      <c r="C1606" s="13"/>
      <c r="D1606" s="29"/>
    </row>
    <row r="1607" spans="2:4" x14ac:dyDescent="0.25">
      <c r="B1607" s="13"/>
      <c r="C1607" s="13"/>
      <c r="D1607" s="29"/>
    </row>
    <row r="1608" spans="2:4" x14ac:dyDescent="0.25">
      <c r="B1608" s="13"/>
      <c r="C1608" s="13"/>
      <c r="D1608" s="29"/>
    </row>
    <row r="1609" spans="2:4" x14ac:dyDescent="0.25">
      <c r="B1609" s="13"/>
      <c r="C1609" s="13"/>
      <c r="D1609" s="29"/>
    </row>
    <row r="1610" spans="2:4" x14ac:dyDescent="0.25">
      <c r="B1610" s="13"/>
      <c r="C1610" s="13"/>
      <c r="D1610" s="29"/>
    </row>
    <row r="1611" spans="2:4" x14ac:dyDescent="0.25">
      <c r="B1611" s="13"/>
      <c r="C1611" s="13"/>
      <c r="D1611" s="29"/>
    </row>
    <row r="1612" spans="2:4" x14ac:dyDescent="0.25">
      <c r="B1612" s="13"/>
      <c r="C1612" s="13"/>
      <c r="D1612" s="29"/>
    </row>
    <row r="1613" spans="2:4" x14ac:dyDescent="0.25">
      <c r="B1613" s="13"/>
      <c r="C1613" s="13"/>
      <c r="D1613" s="29"/>
    </row>
    <row r="1614" spans="2:4" x14ac:dyDescent="0.25">
      <c r="B1614" s="13"/>
      <c r="C1614" s="13"/>
      <c r="D1614" s="29"/>
    </row>
    <row r="1615" spans="2:4" x14ac:dyDescent="0.25">
      <c r="B1615" s="13"/>
      <c r="C1615" s="13"/>
      <c r="D1615" s="29"/>
    </row>
    <row r="1616" spans="2:4" x14ac:dyDescent="0.25">
      <c r="B1616" s="13"/>
      <c r="C1616" s="13"/>
      <c r="D1616" s="29"/>
    </row>
    <row r="1617" spans="2:4" x14ac:dyDescent="0.25">
      <c r="B1617" s="13"/>
      <c r="C1617" s="13"/>
      <c r="D1617" s="29"/>
    </row>
    <row r="1618" spans="2:4" x14ac:dyDescent="0.25">
      <c r="B1618" s="13"/>
      <c r="C1618" s="13"/>
      <c r="D1618" s="29"/>
    </row>
    <row r="1619" spans="2:4" x14ac:dyDescent="0.25">
      <c r="B1619" s="13"/>
      <c r="C1619" s="13"/>
      <c r="D1619" s="29"/>
    </row>
    <row r="1620" spans="2:4" x14ac:dyDescent="0.25">
      <c r="B1620" s="13"/>
      <c r="C1620" s="13"/>
      <c r="D1620" s="29"/>
    </row>
    <row r="1621" spans="2:4" x14ac:dyDescent="0.25">
      <c r="B1621" s="13"/>
      <c r="C1621" s="13"/>
      <c r="D1621" s="29"/>
    </row>
    <row r="1622" spans="2:4" x14ac:dyDescent="0.25">
      <c r="B1622" s="13"/>
      <c r="C1622" s="13"/>
      <c r="D1622" s="29"/>
    </row>
    <row r="1623" spans="2:4" x14ac:dyDescent="0.25">
      <c r="B1623" s="13"/>
      <c r="C1623" s="13"/>
      <c r="D1623" s="29"/>
    </row>
    <row r="1624" spans="2:4" x14ac:dyDescent="0.25">
      <c r="B1624" s="13"/>
      <c r="C1624" s="13"/>
      <c r="D1624" s="29"/>
    </row>
    <row r="1625" spans="2:4" x14ac:dyDescent="0.25">
      <c r="B1625" s="13"/>
      <c r="C1625" s="13"/>
      <c r="D1625" s="29"/>
    </row>
    <row r="1626" spans="2:4" x14ac:dyDescent="0.25">
      <c r="B1626" s="13"/>
      <c r="C1626" s="13"/>
      <c r="D1626" s="29"/>
    </row>
    <row r="1627" spans="2:4" x14ac:dyDescent="0.25">
      <c r="B1627" s="13"/>
      <c r="C1627" s="13"/>
      <c r="D1627" s="29"/>
    </row>
    <row r="1628" spans="2:4" x14ac:dyDescent="0.25">
      <c r="B1628" s="13"/>
      <c r="C1628" s="13"/>
      <c r="D1628" s="29"/>
    </row>
    <row r="1629" spans="2:4" x14ac:dyDescent="0.25">
      <c r="B1629" s="13"/>
      <c r="C1629" s="13"/>
      <c r="D1629" s="29"/>
    </row>
    <row r="1630" spans="2:4" x14ac:dyDescent="0.25">
      <c r="B1630" s="13"/>
      <c r="C1630" s="13"/>
      <c r="D1630" s="29"/>
    </row>
    <row r="1631" spans="2:4" x14ac:dyDescent="0.25">
      <c r="B1631" s="13"/>
      <c r="C1631" s="13"/>
      <c r="D1631" s="29"/>
    </row>
    <row r="1632" spans="2:4" x14ac:dyDescent="0.25">
      <c r="B1632" s="13"/>
      <c r="C1632" s="13"/>
      <c r="D1632" s="29"/>
    </row>
    <row r="1633" spans="2:4" x14ac:dyDescent="0.25">
      <c r="B1633" s="13"/>
      <c r="C1633" s="13"/>
      <c r="D1633" s="29"/>
    </row>
    <row r="1634" spans="2:4" x14ac:dyDescent="0.25">
      <c r="B1634" s="13"/>
      <c r="C1634" s="13"/>
      <c r="D1634" s="29"/>
    </row>
    <row r="1635" spans="2:4" x14ac:dyDescent="0.25">
      <c r="B1635" s="13"/>
      <c r="C1635" s="13"/>
      <c r="D1635" s="29"/>
    </row>
    <row r="1636" spans="2:4" x14ac:dyDescent="0.25">
      <c r="B1636" s="13"/>
      <c r="C1636" s="13"/>
      <c r="D1636" s="29"/>
    </row>
    <row r="1637" spans="2:4" x14ac:dyDescent="0.25">
      <c r="B1637" s="13"/>
      <c r="C1637" s="13"/>
      <c r="D1637" s="29"/>
    </row>
    <row r="1638" spans="2:4" x14ac:dyDescent="0.25">
      <c r="B1638" s="13"/>
      <c r="C1638" s="13"/>
      <c r="D1638" s="29"/>
    </row>
    <row r="1639" spans="2:4" x14ac:dyDescent="0.25">
      <c r="B1639" s="13"/>
      <c r="C1639" s="13"/>
      <c r="D1639" s="29"/>
    </row>
    <row r="1640" spans="2:4" x14ac:dyDescent="0.25">
      <c r="B1640" s="13"/>
      <c r="C1640" s="13"/>
      <c r="D1640" s="29"/>
    </row>
    <row r="1641" spans="2:4" x14ac:dyDescent="0.25">
      <c r="B1641" s="13"/>
      <c r="C1641" s="13"/>
      <c r="D1641" s="29"/>
    </row>
    <row r="1642" spans="2:4" x14ac:dyDescent="0.25">
      <c r="B1642" s="13"/>
      <c r="C1642" s="13"/>
      <c r="D1642" s="29"/>
    </row>
    <row r="1643" spans="2:4" x14ac:dyDescent="0.25">
      <c r="B1643" s="13"/>
      <c r="C1643" s="13"/>
      <c r="D1643" s="29"/>
    </row>
    <row r="1644" spans="2:4" x14ac:dyDescent="0.25">
      <c r="B1644" s="13"/>
      <c r="C1644" s="13"/>
      <c r="D1644" s="29"/>
    </row>
    <row r="1645" spans="2:4" x14ac:dyDescent="0.25">
      <c r="B1645" s="13"/>
      <c r="C1645" s="13"/>
      <c r="D1645" s="29"/>
    </row>
    <row r="1646" spans="2:4" x14ac:dyDescent="0.25">
      <c r="B1646" s="13"/>
      <c r="C1646" s="13"/>
      <c r="D1646" s="29"/>
    </row>
    <row r="1647" spans="2:4" x14ac:dyDescent="0.25">
      <c r="B1647" s="13"/>
      <c r="C1647" s="13"/>
      <c r="D1647" s="29"/>
    </row>
    <row r="1648" spans="2:4" x14ac:dyDescent="0.25">
      <c r="B1648" s="13"/>
      <c r="C1648" s="13"/>
      <c r="D1648" s="29"/>
    </row>
    <row r="1649" spans="2:4" x14ac:dyDescent="0.25">
      <c r="B1649" s="13"/>
      <c r="C1649" s="13"/>
      <c r="D1649" s="29"/>
    </row>
    <row r="1650" spans="2:4" x14ac:dyDescent="0.25">
      <c r="B1650" s="13"/>
      <c r="C1650" s="13"/>
      <c r="D1650" s="29"/>
    </row>
    <row r="1651" spans="2:4" x14ac:dyDescent="0.25">
      <c r="B1651" s="13"/>
      <c r="C1651" s="13"/>
      <c r="D1651" s="29"/>
    </row>
    <row r="1652" spans="2:4" x14ac:dyDescent="0.25">
      <c r="B1652" s="13"/>
      <c r="C1652" s="13"/>
      <c r="D1652" s="29"/>
    </row>
    <row r="1653" spans="2:4" x14ac:dyDescent="0.25">
      <c r="B1653" s="13"/>
      <c r="C1653" s="13"/>
      <c r="D1653" s="29"/>
    </row>
    <row r="1654" spans="2:4" x14ac:dyDescent="0.25">
      <c r="B1654" s="13"/>
      <c r="C1654" s="13"/>
      <c r="D1654" s="29"/>
    </row>
    <row r="1655" spans="2:4" x14ac:dyDescent="0.25">
      <c r="B1655" s="13"/>
      <c r="C1655" s="13"/>
      <c r="D1655" s="29"/>
    </row>
    <row r="1656" spans="2:4" x14ac:dyDescent="0.25">
      <c r="B1656" s="13"/>
      <c r="C1656" s="13"/>
      <c r="D1656" s="29"/>
    </row>
    <row r="1657" spans="2:4" x14ac:dyDescent="0.25">
      <c r="B1657" s="13"/>
      <c r="C1657" s="13"/>
      <c r="D1657" s="29"/>
    </row>
    <row r="1658" spans="2:4" x14ac:dyDescent="0.25">
      <c r="B1658" s="13"/>
      <c r="C1658" s="13"/>
      <c r="D1658" s="29"/>
    </row>
    <row r="1659" spans="2:4" x14ac:dyDescent="0.25">
      <c r="B1659" s="13"/>
      <c r="C1659" s="13"/>
      <c r="D1659" s="29"/>
    </row>
    <row r="1660" spans="2:4" x14ac:dyDescent="0.25">
      <c r="B1660" s="13"/>
      <c r="C1660" s="13"/>
      <c r="D1660" s="29"/>
    </row>
    <row r="1661" spans="2:4" x14ac:dyDescent="0.25">
      <c r="B1661" s="13"/>
      <c r="C1661" s="13"/>
      <c r="D1661" s="29"/>
    </row>
    <row r="1662" spans="2:4" x14ac:dyDescent="0.25">
      <c r="B1662" s="13"/>
      <c r="C1662" s="13"/>
      <c r="D1662" s="29"/>
    </row>
    <row r="1663" spans="2:4" x14ac:dyDescent="0.25">
      <c r="B1663" s="13"/>
      <c r="C1663" s="13"/>
      <c r="D1663" s="29"/>
    </row>
    <row r="1664" spans="2:4" x14ac:dyDescent="0.25">
      <c r="B1664" s="13"/>
      <c r="C1664" s="13"/>
      <c r="D1664" s="29"/>
    </row>
    <row r="1665" spans="2:4" x14ac:dyDescent="0.25">
      <c r="B1665" s="13"/>
      <c r="C1665" s="13"/>
      <c r="D1665" s="29"/>
    </row>
    <row r="1666" spans="2:4" x14ac:dyDescent="0.25">
      <c r="B1666" s="13"/>
      <c r="C1666" s="13"/>
      <c r="D1666" s="29"/>
    </row>
    <row r="1667" spans="2:4" x14ac:dyDescent="0.25">
      <c r="B1667" s="13"/>
      <c r="C1667" s="13"/>
      <c r="D1667" s="29"/>
    </row>
    <row r="1668" spans="2:4" x14ac:dyDescent="0.25">
      <c r="B1668" s="13"/>
      <c r="C1668" s="13"/>
      <c r="D1668" s="29"/>
    </row>
    <row r="1669" spans="2:4" x14ac:dyDescent="0.25">
      <c r="B1669" s="13"/>
      <c r="C1669" s="13"/>
      <c r="D1669" s="29"/>
    </row>
    <row r="1670" spans="2:4" x14ac:dyDescent="0.25">
      <c r="B1670" s="13"/>
      <c r="C1670" s="13"/>
      <c r="D1670" s="29"/>
    </row>
    <row r="1671" spans="2:4" x14ac:dyDescent="0.25">
      <c r="B1671" s="13"/>
      <c r="C1671" s="13"/>
      <c r="D1671" s="29"/>
    </row>
    <row r="1672" spans="2:4" x14ac:dyDescent="0.25">
      <c r="B1672" s="13"/>
      <c r="C1672" s="13"/>
      <c r="D1672" s="29"/>
    </row>
    <row r="1673" spans="2:4" x14ac:dyDescent="0.25">
      <c r="B1673" s="13"/>
      <c r="C1673" s="13"/>
      <c r="D1673" s="29"/>
    </row>
    <row r="1674" spans="2:4" x14ac:dyDescent="0.25">
      <c r="B1674" s="13"/>
      <c r="C1674" s="13"/>
      <c r="D1674" s="29"/>
    </row>
    <row r="1675" spans="2:4" x14ac:dyDescent="0.25">
      <c r="B1675" s="13"/>
      <c r="C1675" s="13"/>
      <c r="D1675" s="29"/>
    </row>
    <row r="1676" spans="2:4" x14ac:dyDescent="0.25">
      <c r="B1676" s="13"/>
      <c r="C1676" s="13"/>
      <c r="D1676" s="29"/>
    </row>
    <row r="1677" spans="2:4" x14ac:dyDescent="0.25">
      <c r="B1677" s="13"/>
      <c r="C1677" s="13"/>
      <c r="D1677" s="29"/>
    </row>
    <row r="1678" spans="2:4" x14ac:dyDescent="0.25">
      <c r="B1678" s="13"/>
      <c r="C1678" s="13"/>
      <c r="D1678" s="29"/>
    </row>
    <row r="1679" spans="2:4" x14ac:dyDescent="0.25">
      <c r="B1679" s="13"/>
      <c r="C1679" s="13"/>
      <c r="D1679" s="29"/>
    </row>
    <row r="1680" spans="2:4" x14ac:dyDescent="0.25">
      <c r="B1680" s="13"/>
      <c r="C1680" s="13"/>
      <c r="D1680" s="29"/>
    </row>
    <row r="1681" spans="2:4" x14ac:dyDescent="0.25">
      <c r="B1681" s="13"/>
      <c r="C1681" s="13"/>
      <c r="D1681" s="29"/>
    </row>
    <row r="1682" spans="2:4" x14ac:dyDescent="0.25">
      <c r="B1682" s="13"/>
      <c r="C1682" s="13"/>
      <c r="D1682" s="29"/>
    </row>
    <row r="1683" spans="2:4" x14ac:dyDescent="0.25">
      <c r="B1683" s="13"/>
      <c r="C1683" s="13"/>
      <c r="D1683" s="29"/>
    </row>
    <row r="1684" spans="2:4" x14ac:dyDescent="0.25">
      <c r="B1684" s="13"/>
      <c r="C1684" s="13"/>
      <c r="D1684" s="29"/>
    </row>
    <row r="1685" spans="2:4" x14ac:dyDescent="0.25">
      <c r="B1685" s="13"/>
      <c r="C1685" s="13"/>
      <c r="D1685" s="29"/>
    </row>
    <row r="1686" spans="2:4" x14ac:dyDescent="0.25">
      <c r="B1686" s="13"/>
      <c r="C1686" s="13"/>
      <c r="D1686" s="29"/>
    </row>
    <row r="1687" spans="2:4" x14ac:dyDescent="0.25">
      <c r="B1687" s="13"/>
      <c r="C1687" s="13"/>
      <c r="D1687" s="29"/>
    </row>
    <row r="1688" spans="2:4" x14ac:dyDescent="0.25">
      <c r="B1688" s="13"/>
      <c r="C1688" s="13"/>
      <c r="D1688" s="29"/>
    </row>
    <row r="1689" spans="2:4" x14ac:dyDescent="0.25">
      <c r="B1689" s="13"/>
      <c r="C1689" s="13"/>
      <c r="D1689" s="29"/>
    </row>
    <row r="1690" spans="2:4" x14ac:dyDescent="0.25">
      <c r="B1690" s="13"/>
      <c r="C1690" s="13"/>
      <c r="D1690" s="29"/>
    </row>
    <row r="1691" spans="2:4" x14ac:dyDescent="0.25">
      <c r="B1691" s="13"/>
      <c r="C1691" s="13"/>
      <c r="D1691" s="29"/>
    </row>
    <row r="1692" spans="2:4" x14ac:dyDescent="0.25">
      <c r="B1692" s="13"/>
      <c r="C1692" s="13"/>
      <c r="D1692" s="29"/>
    </row>
    <row r="1693" spans="2:4" x14ac:dyDescent="0.25">
      <c r="B1693" s="13"/>
      <c r="C1693" s="13"/>
      <c r="D1693" s="29"/>
    </row>
    <row r="1694" spans="2:4" x14ac:dyDescent="0.25">
      <c r="B1694" s="13"/>
      <c r="C1694" s="13"/>
      <c r="D1694" s="29"/>
    </row>
    <row r="1695" spans="2:4" x14ac:dyDescent="0.25">
      <c r="B1695" s="13"/>
      <c r="C1695" s="13"/>
      <c r="D1695" s="29"/>
    </row>
    <row r="1696" spans="2:4" x14ac:dyDescent="0.25">
      <c r="B1696" s="13"/>
      <c r="C1696" s="13"/>
      <c r="D1696" s="29"/>
    </row>
    <row r="1697" spans="2:4" x14ac:dyDescent="0.25">
      <c r="B1697" s="13"/>
      <c r="C1697" s="13"/>
      <c r="D1697" s="29"/>
    </row>
    <row r="1698" spans="2:4" x14ac:dyDescent="0.25">
      <c r="B1698" s="13"/>
      <c r="C1698" s="13"/>
      <c r="D1698" s="29"/>
    </row>
    <row r="1699" spans="2:4" x14ac:dyDescent="0.25">
      <c r="B1699" s="13"/>
      <c r="C1699" s="13"/>
      <c r="D1699" s="29"/>
    </row>
    <row r="1700" spans="2:4" x14ac:dyDescent="0.25">
      <c r="B1700" s="13"/>
      <c r="C1700" s="13"/>
      <c r="D1700" s="29"/>
    </row>
    <row r="1701" spans="2:4" x14ac:dyDescent="0.25">
      <c r="B1701" s="13"/>
      <c r="C1701" s="13"/>
      <c r="D1701" s="29"/>
    </row>
    <row r="1702" spans="2:4" x14ac:dyDescent="0.25">
      <c r="B1702" s="13"/>
      <c r="C1702" s="13"/>
      <c r="D1702" s="29"/>
    </row>
    <row r="1703" spans="2:4" x14ac:dyDescent="0.25">
      <c r="B1703" s="13"/>
      <c r="C1703" s="13"/>
      <c r="D1703" s="29"/>
    </row>
    <row r="1704" spans="2:4" x14ac:dyDescent="0.25">
      <c r="B1704" s="13"/>
      <c r="C1704" s="13"/>
      <c r="D1704" s="29"/>
    </row>
    <row r="1705" spans="2:4" x14ac:dyDescent="0.25">
      <c r="B1705" s="13"/>
      <c r="C1705" s="13"/>
      <c r="D1705" s="29"/>
    </row>
    <row r="1706" spans="2:4" x14ac:dyDescent="0.25">
      <c r="B1706" s="13"/>
      <c r="C1706" s="13"/>
      <c r="D1706" s="29"/>
    </row>
    <row r="1707" spans="2:4" x14ac:dyDescent="0.25">
      <c r="B1707" s="13"/>
      <c r="C1707" s="13"/>
      <c r="D1707" s="29"/>
    </row>
    <row r="1708" spans="2:4" x14ac:dyDescent="0.25">
      <c r="B1708" s="13"/>
      <c r="C1708" s="13"/>
      <c r="D1708" s="29"/>
    </row>
    <row r="1709" spans="2:4" x14ac:dyDescent="0.25">
      <c r="B1709" s="13"/>
      <c r="C1709" s="13"/>
      <c r="D1709" s="29"/>
    </row>
    <row r="1710" spans="2:4" x14ac:dyDescent="0.25">
      <c r="B1710" s="13"/>
      <c r="C1710" s="13"/>
      <c r="D1710" s="29"/>
    </row>
    <row r="1711" spans="2:4" x14ac:dyDescent="0.25">
      <c r="B1711" s="13"/>
      <c r="C1711" s="13"/>
      <c r="D1711" s="29"/>
    </row>
    <row r="1712" spans="2:4" x14ac:dyDescent="0.25">
      <c r="B1712" s="13"/>
      <c r="C1712" s="13"/>
      <c r="D1712" s="29"/>
    </row>
    <row r="1713" spans="2:4" x14ac:dyDescent="0.25">
      <c r="B1713" s="13"/>
      <c r="C1713" s="13"/>
      <c r="D1713" s="29"/>
    </row>
    <row r="1714" spans="2:4" x14ac:dyDescent="0.25">
      <c r="B1714" s="13"/>
      <c r="C1714" s="13"/>
      <c r="D1714" s="29"/>
    </row>
    <row r="1715" spans="2:4" x14ac:dyDescent="0.25">
      <c r="B1715" s="13"/>
      <c r="C1715" s="13"/>
      <c r="D1715" s="29"/>
    </row>
    <row r="1716" spans="2:4" x14ac:dyDescent="0.25">
      <c r="B1716" s="13"/>
      <c r="C1716" s="13"/>
      <c r="D1716" s="29"/>
    </row>
    <row r="1717" spans="2:4" x14ac:dyDescent="0.25">
      <c r="B1717" s="13"/>
      <c r="C1717" s="13"/>
      <c r="D1717" s="29"/>
    </row>
    <row r="1718" spans="2:4" x14ac:dyDescent="0.25">
      <c r="B1718" s="13"/>
      <c r="C1718" s="13"/>
      <c r="D1718" s="29"/>
    </row>
    <row r="1719" spans="2:4" x14ac:dyDescent="0.25">
      <c r="B1719" s="13"/>
      <c r="C1719" s="13"/>
      <c r="D1719" s="29"/>
    </row>
    <row r="1720" spans="2:4" x14ac:dyDescent="0.25">
      <c r="B1720" s="13"/>
      <c r="C1720" s="13"/>
      <c r="D1720" s="29"/>
    </row>
    <row r="1721" spans="2:4" x14ac:dyDescent="0.25">
      <c r="B1721" s="13"/>
      <c r="C1721" s="13"/>
      <c r="D1721" s="29"/>
    </row>
    <row r="1722" spans="2:4" x14ac:dyDescent="0.25">
      <c r="B1722" s="13"/>
      <c r="C1722" s="13"/>
      <c r="D1722" s="29"/>
    </row>
    <row r="1723" spans="2:4" x14ac:dyDescent="0.25">
      <c r="B1723" s="13"/>
      <c r="C1723" s="13"/>
      <c r="D1723" s="29"/>
    </row>
    <row r="1724" spans="2:4" x14ac:dyDescent="0.25">
      <c r="B1724" s="13"/>
      <c r="C1724" s="13"/>
      <c r="D1724" s="29"/>
    </row>
    <row r="1725" spans="2:4" x14ac:dyDescent="0.25">
      <c r="B1725" s="13"/>
      <c r="C1725" s="13"/>
      <c r="D1725" s="29"/>
    </row>
    <row r="1726" spans="2:4" x14ac:dyDescent="0.25">
      <c r="B1726" s="13"/>
      <c r="C1726" s="13"/>
      <c r="D1726" s="29"/>
    </row>
    <row r="1727" spans="2:4" x14ac:dyDescent="0.25">
      <c r="B1727" s="13"/>
      <c r="C1727" s="13"/>
      <c r="D1727" s="29"/>
    </row>
    <row r="1728" spans="2:4" x14ac:dyDescent="0.25">
      <c r="B1728" s="13"/>
      <c r="C1728" s="13"/>
      <c r="D1728" s="29"/>
    </row>
    <row r="1729" spans="2:4" x14ac:dyDescent="0.25">
      <c r="B1729" s="13"/>
      <c r="C1729" s="13"/>
      <c r="D1729" s="29"/>
    </row>
    <row r="1730" spans="2:4" x14ac:dyDescent="0.25">
      <c r="B1730" s="13"/>
      <c r="C1730" s="13"/>
      <c r="D1730" s="29"/>
    </row>
    <row r="1731" spans="2:4" x14ac:dyDescent="0.25">
      <c r="B1731" s="13"/>
      <c r="C1731" s="13"/>
      <c r="D1731" s="29"/>
    </row>
    <row r="1732" spans="2:4" x14ac:dyDescent="0.25">
      <c r="B1732" s="13"/>
      <c r="C1732" s="13"/>
      <c r="D1732" s="29"/>
    </row>
    <row r="1733" spans="2:4" x14ac:dyDescent="0.25">
      <c r="B1733" s="13"/>
      <c r="C1733" s="13"/>
      <c r="D1733" s="29"/>
    </row>
    <row r="1734" spans="2:4" x14ac:dyDescent="0.25">
      <c r="B1734" s="13"/>
      <c r="C1734" s="13"/>
      <c r="D1734" s="29"/>
    </row>
    <row r="1735" spans="2:4" x14ac:dyDescent="0.25">
      <c r="B1735" s="13"/>
      <c r="C1735" s="13"/>
      <c r="D1735" s="29"/>
    </row>
    <row r="1736" spans="2:4" x14ac:dyDescent="0.25">
      <c r="B1736" s="13"/>
      <c r="C1736" s="13"/>
      <c r="D1736" s="29"/>
    </row>
    <row r="1737" spans="2:4" x14ac:dyDescent="0.25">
      <c r="B1737" s="13"/>
      <c r="C1737" s="13"/>
      <c r="D1737" s="29"/>
    </row>
    <row r="1738" spans="2:4" x14ac:dyDescent="0.25">
      <c r="B1738" s="13"/>
      <c r="C1738" s="13"/>
      <c r="D1738" s="29"/>
    </row>
    <row r="1739" spans="2:4" x14ac:dyDescent="0.25">
      <c r="B1739" s="13"/>
      <c r="C1739" s="13"/>
      <c r="D1739" s="29"/>
    </row>
    <row r="1740" spans="2:4" x14ac:dyDescent="0.25">
      <c r="B1740" s="13"/>
      <c r="C1740" s="13"/>
      <c r="D1740" s="29"/>
    </row>
    <row r="1741" spans="2:4" x14ac:dyDescent="0.25">
      <c r="B1741" s="13"/>
      <c r="C1741" s="13"/>
      <c r="D1741" s="29"/>
    </row>
    <row r="1742" spans="2:4" x14ac:dyDescent="0.25">
      <c r="B1742" s="13"/>
      <c r="C1742" s="13"/>
      <c r="D1742" s="29"/>
    </row>
    <row r="1743" spans="2:4" x14ac:dyDescent="0.25">
      <c r="B1743" s="13"/>
      <c r="C1743" s="13"/>
      <c r="D1743" s="29"/>
    </row>
    <row r="1744" spans="2:4" x14ac:dyDescent="0.25">
      <c r="B1744" s="13"/>
      <c r="C1744" s="13"/>
      <c r="D1744" s="29"/>
    </row>
    <row r="1745" spans="2:4" x14ac:dyDescent="0.25">
      <c r="B1745" s="13"/>
      <c r="C1745" s="13"/>
      <c r="D1745" s="29"/>
    </row>
    <row r="1746" spans="2:4" x14ac:dyDescent="0.25">
      <c r="B1746" s="13"/>
      <c r="C1746" s="13"/>
      <c r="D1746" s="29"/>
    </row>
    <row r="1747" spans="2:4" x14ac:dyDescent="0.25">
      <c r="B1747" s="13"/>
      <c r="C1747" s="13"/>
      <c r="D1747" s="29"/>
    </row>
    <row r="1748" spans="2:4" x14ac:dyDescent="0.25">
      <c r="B1748" s="13"/>
      <c r="C1748" s="13"/>
      <c r="D1748" s="29"/>
    </row>
    <row r="1749" spans="2:4" x14ac:dyDescent="0.25">
      <c r="B1749" s="13"/>
      <c r="C1749" s="13"/>
      <c r="D1749" s="29"/>
    </row>
    <row r="1750" spans="2:4" x14ac:dyDescent="0.25">
      <c r="B1750" s="13"/>
      <c r="C1750" s="13"/>
      <c r="D1750" s="29"/>
    </row>
    <row r="1751" spans="2:4" x14ac:dyDescent="0.25">
      <c r="B1751" s="13"/>
      <c r="C1751" s="13"/>
      <c r="D1751" s="29"/>
    </row>
    <row r="1752" spans="2:4" x14ac:dyDescent="0.25">
      <c r="B1752" s="13"/>
      <c r="C1752" s="13"/>
      <c r="D1752" s="29"/>
    </row>
    <row r="1753" spans="2:4" x14ac:dyDescent="0.25">
      <c r="B1753" s="13"/>
      <c r="C1753" s="13"/>
      <c r="D1753" s="29"/>
    </row>
    <row r="1754" spans="2:4" x14ac:dyDescent="0.25">
      <c r="B1754" s="13"/>
      <c r="C1754" s="13"/>
      <c r="D1754" s="29"/>
    </row>
    <row r="1755" spans="2:4" x14ac:dyDescent="0.25">
      <c r="B1755" s="13"/>
      <c r="C1755" s="13"/>
      <c r="D1755" s="29"/>
    </row>
    <row r="1756" spans="2:4" x14ac:dyDescent="0.25">
      <c r="B1756" s="13"/>
      <c r="C1756" s="13"/>
      <c r="D1756" s="29"/>
    </row>
    <row r="1757" spans="2:4" x14ac:dyDescent="0.25">
      <c r="B1757" s="13"/>
      <c r="C1757" s="13"/>
      <c r="D1757" s="29"/>
    </row>
    <row r="1758" spans="2:4" x14ac:dyDescent="0.25">
      <c r="B1758" s="13"/>
      <c r="C1758" s="13"/>
      <c r="D1758" s="29"/>
    </row>
    <row r="1759" spans="2:4" x14ac:dyDescent="0.25">
      <c r="B1759" s="13"/>
      <c r="C1759" s="13"/>
      <c r="D1759" s="29"/>
    </row>
    <row r="1760" spans="2:4" x14ac:dyDescent="0.25">
      <c r="B1760" s="13"/>
      <c r="C1760" s="13"/>
      <c r="D1760" s="29"/>
    </row>
    <row r="1761" spans="2:4" x14ac:dyDescent="0.25">
      <c r="B1761" s="13"/>
      <c r="C1761" s="13"/>
      <c r="D1761" s="29"/>
    </row>
    <row r="1762" spans="2:4" x14ac:dyDescent="0.25">
      <c r="B1762" s="13"/>
      <c r="C1762" s="13"/>
      <c r="D1762" s="29"/>
    </row>
    <row r="1763" spans="2:4" x14ac:dyDescent="0.25">
      <c r="B1763" s="13"/>
      <c r="C1763" s="13"/>
      <c r="D1763" s="29"/>
    </row>
    <row r="1764" spans="2:4" x14ac:dyDescent="0.25">
      <c r="B1764" s="13"/>
      <c r="C1764" s="13"/>
      <c r="D1764" s="29"/>
    </row>
    <row r="1765" spans="2:4" x14ac:dyDescent="0.25">
      <c r="B1765" s="13"/>
      <c r="C1765" s="13"/>
      <c r="D1765" s="29"/>
    </row>
    <row r="1766" spans="2:4" x14ac:dyDescent="0.25">
      <c r="B1766" s="13"/>
      <c r="C1766" s="13"/>
      <c r="D1766" s="29"/>
    </row>
    <row r="1767" spans="2:4" x14ac:dyDescent="0.25">
      <c r="B1767" s="13"/>
      <c r="C1767" s="13"/>
      <c r="D1767" s="29"/>
    </row>
    <row r="1768" spans="2:4" x14ac:dyDescent="0.25">
      <c r="B1768" s="13"/>
      <c r="C1768" s="13"/>
      <c r="D1768" s="29"/>
    </row>
    <row r="1769" spans="2:4" x14ac:dyDescent="0.25">
      <c r="B1769" s="13"/>
      <c r="C1769" s="13"/>
      <c r="D1769" s="29"/>
    </row>
    <row r="1770" spans="2:4" x14ac:dyDescent="0.25">
      <c r="B1770" s="13"/>
      <c r="C1770" s="13"/>
      <c r="D1770" s="29"/>
    </row>
    <row r="1771" spans="2:4" x14ac:dyDescent="0.25">
      <c r="B1771" s="13"/>
      <c r="C1771" s="13"/>
      <c r="D1771" s="29"/>
    </row>
    <row r="1772" spans="2:4" x14ac:dyDescent="0.25">
      <c r="B1772" s="13"/>
      <c r="C1772" s="13"/>
      <c r="D1772" s="29"/>
    </row>
    <row r="1773" spans="2:4" x14ac:dyDescent="0.25">
      <c r="B1773" s="13"/>
      <c r="C1773" s="13"/>
      <c r="D1773" s="29"/>
    </row>
    <row r="1774" spans="2:4" x14ac:dyDescent="0.25">
      <c r="B1774" s="13"/>
      <c r="C1774" s="13"/>
      <c r="D1774" s="29"/>
    </row>
    <row r="1775" spans="2:4" x14ac:dyDescent="0.25">
      <c r="B1775" s="13"/>
      <c r="C1775" s="13"/>
      <c r="D1775" s="29"/>
    </row>
    <row r="1776" spans="2:4" x14ac:dyDescent="0.25">
      <c r="B1776" s="13"/>
      <c r="C1776" s="13"/>
      <c r="D1776" s="29"/>
    </row>
    <row r="1777" spans="2:4" x14ac:dyDescent="0.25">
      <c r="B1777" s="13"/>
      <c r="C1777" s="13"/>
      <c r="D1777" s="29"/>
    </row>
    <row r="1778" spans="2:4" x14ac:dyDescent="0.25">
      <c r="B1778" s="13"/>
      <c r="C1778" s="13"/>
      <c r="D1778" s="29"/>
    </row>
    <row r="1779" spans="2:4" x14ac:dyDescent="0.25">
      <c r="B1779" s="13"/>
      <c r="C1779" s="13"/>
      <c r="D1779" s="29"/>
    </row>
    <row r="1780" spans="2:4" x14ac:dyDescent="0.25">
      <c r="B1780" s="13"/>
      <c r="C1780" s="13"/>
      <c r="D1780" s="29"/>
    </row>
    <row r="1781" spans="2:4" x14ac:dyDescent="0.25">
      <c r="B1781" s="13"/>
      <c r="C1781" s="13"/>
      <c r="D1781" s="29"/>
    </row>
    <row r="1782" spans="2:4" x14ac:dyDescent="0.25">
      <c r="B1782" s="13"/>
      <c r="C1782" s="13"/>
      <c r="D1782" s="29"/>
    </row>
    <row r="1783" spans="2:4" x14ac:dyDescent="0.25">
      <c r="B1783" s="13"/>
      <c r="C1783" s="13"/>
      <c r="D1783" s="29"/>
    </row>
    <row r="1784" spans="2:4" x14ac:dyDescent="0.25">
      <c r="B1784" s="13"/>
      <c r="C1784" s="13"/>
      <c r="D1784" s="29"/>
    </row>
    <row r="1785" spans="2:4" x14ac:dyDescent="0.25">
      <c r="B1785" s="13"/>
      <c r="C1785" s="13"/>
      <c r="D1785" s="29"/>
    </row>
    <row r="1786" spans="2:4" x14ac:dyDescent="0.25">
      <c r="B1786" s="13"/>
      <c r="C1786" s="13"/>
      <c r="D1786" s="29"/>
    </row>
    <row r="1787" spans="2:4" x14ac:dyDescent="0.25">
      <c r="B1787" s="13"/>
      <c r="C1787" s="13"/>
      <c r="D1787" s="29"/>
    </row>
    <row r="1788" spans="2:4" x14ac:dyDescent="0.25">
      <c r="B1788" s="13"/>
      <c r="C1788" s="13"/>
      <c r="D1788" s="29"/>
    </row>
    <row r="1789" spans="2:4" x14ac:dyDescent="0.25">
      <c r="B1789" s="13"/>
      <c r="C1789" s="13"/>
      <c r="D1789" s="29"/>
    </row>
    <row r="1790" spans="2:4" x14ac:dyDescent="0.25">
      <c r="B1790" s="13"/>
      <c r="C1790" s="13"/>
      <c r="D1790" s="29"/>
    </row>
    <row r="1791" spans="2:4" x14ac:dyDescent="0.25">
      <c r="B1791" s="13"/>
      <c r="C1791" s="13"/>
      <c r="D1791" s="29"/>
    </row>
    <row r="1792" spans="2:4" x14ac:dyDescent="0.25">
      <c r="B1792" s="13"/>
      <c r="C1792" s="13"/>
      <c r="D1792" s="29"/>
    </row>
    <row r="1793" spans="2:4" x14ac:dyDescent="0.25">
      <c r="B1793" s="13"/>
      <c r="C1793" s="13"/>
      <c r="D1793" s="29"/>
    </row>
    <row r="1794" spans="2:4" x14ac:dyDescent="0.25">
      <c r="B1794" s="13"/>
      <c r="C1794" s="13"/>
      <c r="D1794" s="29"/>
    </row>
    <row r="1795" spans="2:4" x14ac:dyDescent="0.25">
      <c r="B1795" s="13"/>
      <c r="C1795" s="13"/>
      <c r="D1795" s="29"/>
    </row>
    <row r="1796" spans="2:4" x14ac:dyDescent="0.25">
      <c r="B1796" s="13"/>
      <c r="C1796" s="13"/>
      <c r="D1796" s="29"/>
    </row>
    <row r="1797" spans="2:4" x14ac:dyDescent="0.25">
      <c r="B1797" s="13"/>
      <c r="C1797" s="13"/>
      <c r="D1797" s="29"/>
    </row>
    <row r="1798" spans="2:4" x14ac:dyDescent="0.25">
      <c r="B1798" s="13"/>
      <c r="C1798" s="13"/>
      <c r="D1798" s="29"/>
    </row>
    <row r="1799" spans="2:4" x14ac:dyDescent="0.25">
      <c r="B1799" s="13"/>
      <c r="C1799" s="13"/>
      <c r="D1799" s="29"/>
    </row>
    <row r="1800" spans="2:4" x14ac:dyDescent="0.25">
      <c r="B1800" s="13"/>
      <c r="C1800" s="13"/>
      <c r="D1800" s="29"/>
    </row>
    <row r="1801" spans="2:4" x14ac:dyDescent="0.25">
      <c r="B1801" s="13"/>
      <c r="C1801" s="13"/>
      <c r="D1801" s="29"/>
    </row>
    <row r="1802" spans="2:4" x14ac:dyDescent="0.25">
      <c r="B1802" s="13"/>
      <c r="C1802" s="13"/>
      <c r="D1802" s="29"/>
    </row>
    <row r="1803" spans="2:4" x14ac:dyDescent="0.25">
      <c r="B1803" s="13"/>
      <c r="C1803" s="13"/>
      <c r="D1803" s="29"/>
    </row>
    <row r="1804" spans="2:4" x14ac:dyDescent="0.25">
      <c r="B1804" s="13"/>
      <c r="C1804" s="13"/>
      <c r="D1804" s="29"/>
    </row>
    <row r="1805" spans="2:4" x14ac:dyDescent="0.25">
      <c r="B1805" s="13"/>
      <c r="C1805" s="13"/>
      <c r="D1805" s="29"/>
    </row>
    <row r="1806" spans="2:4" x14ac:dyDescent="0.25">
      <c r="B1806" s="13"/>
      <c r="C1806" s="13"/>
      <c r="D1806" s="29"/>
    </row>
    <row r="1807" spans="2:4" x14ac:dyDescent="0.25">
      <c r="B1807" s="13"/>
      <c r="C1807" s="13"/>
      <c r="D1807" s="29"/>
    </row>
    <row r="1808" spans="2:4" x14ac:dyDescent="0.25">
      <c r="B1808" s="13"/>
      <c r="C1808" s="13"/>
      <c r="D1808" s="29"/>
    </row>
    <row r="1809" spans="2:4" x14ac:dyDescent="0.25">
      <c r="B1809" s="13"/>
      <c r="C1809" s="13"/>
      <c r="D1809" s="29"/>
    </row>
    <row r="1810" spans="2:4" x14ac:dyDescent="0.25">
      <c r="B1810" s="13"/>
      <c r="C1810" s="13"/>
      <c r="D1810" s="29"/>
    </row>
    <row r="1811" spans="2:4" x14ac:dyDescent="0.25">
      <c r="B1811" s="13"/>
      <c r="C1811" s="13"/>
      <c r="D1811" s="29"/>
    </row>
    <row r="1812" spans="2:4" x14ac:dyDescent="0.25">
      <c r="B1812" s="13"/>
      <c r="C1812" s="13"/>
      <c r="D1812" s="29"/>
    </row>
    <row r="1813" spans="2:4" x14ac:dyDescent="0.25">
      <c r="B1813" s="13"/>
      <c r="C1813" s="13"/>
      <c r="D1813" s="29"/>
    </row>
    <row r="1814" spans="2:4" x14ac:dyDescent="0.25">
      <c r="B1814" s="13"/>
      <c r="C1814" s="13"/>
      <c r="D1814" s="29"/>
    </row>
    <row r="1815" spans="2:4" x14ac:dyDescent="0.25">
      <c r="B1815" s="13"/>
      <c r="C1815" s="13"/>
      <c r="D1815" s="29"/>
    </row>
    <row r="1816" spans="2:4" x14ac:dyDescent="0.25">
      <c r="B1816" s="13"/>
      <c r="C1816" s="13"/>
      <c r="D1816" s="29"/>
    </row>
    <row r="1817" spans="2:4" x14ac:dyDescent="0.25">
      <c r="B1817" s="13"/>
      <c r="C1817" s="13"/>
      <c r="D1817" s="29"/>
    </row>
    <row r="1818" spans="2:4" x14ac:dyDescent="0.25">
      <c r="B1818" s="13"/>
      <c r="C1818" s="13"/>
      <c r="D1818" s="29"/>
    </row>
    <row r="1819" spans="2:4" x14ac:dyDescent="0.25">
      <c r="B1819" s="13"/>
      <c r="C1819" s="13"/>
      <c r="D1819" s="29"/>
    </row>
    <row r="1820" spans="2:4" x14ac:dyDescent="0.25">
      <c r="B1820" s="13"/>
      <c r="C1820" s="13"/>
      <c r="D1820" s="29"/>
    </row>
    <row r="1821" spans="2:4" x14ac:dyDescent="0.25">
      <c r="B1821" s="13"/>
      <c r="C1821" s="13"/>
      <c r="D1821" s="29"/>
    </row>
    <row r="1822" spans="2:4" x14ac:dyDescent="0.25">
      <c r="B1822" s="13"/>
      <c r="C1822" s="13"/>
      <c r="D1822" s="29"/>
    </row>
    <row r="1823" spans="2:4" x14ac:dyDescent="0.25">
      <c r="B1823" s="13"/>
      <c r="C1823" s="13"/>
      <c r="D1823" s="29"/>
    </row>
    <row r="1824" spans="2:4" x14ac:dyDescent="0.25">
      <c r="B1824" s="13"/>
      <c r="C1824" s="13"/>
      <c r="D1824" s="29"/>
    </row>
    <row r="1825" spans="2:4" x14ac:dyDescent="0.25">
      <c r="B1825" s="13"/>
      <c r="C1825" s="13"/>
      <c r="D1825" s="29"/>
    </row>
    <row r="1826" spans="2:4" x14ac:dyDescent="0.25">
      <c r="B1826" s="13"/>
      <c r="C1826" s="13"/>
      <c r="D1826" s="29"/>
    </row>
    <row r="1827" spans="2:4" x14ac:dyDescent="0.25">
      <c r="B1827" s="13"/>
      <c r="C1827" s="13"/>
      <c r="D1827" s="29"/>
    </row>
    <row r="1828" spans="2:4" x14ac:dyDescent="0.25">
      <c r="B1828" s="13"/>
      <c r="C1828" s="13"/>
      <c r="D1828" s="29"/>
    </row>
    <row r="1829" spans="2:4" x14ac:dyDescent="0.25">
      <c r="B1829" s="13"/>
      <c r="C1829" s="13"/>
      <c r="D1829" s="29"/>
    </row>
    <row r="1830" spans="2:4" x14ac:dyDescent="0.25">
      <c r="B1830" s="13"/>
      <c r="C1830" s="13"/>
      <c r="D1830" s="29"/>
    </row>
    <row r="1831" spans="2:4" x14ac:dyDescent="0.25">
      <c r="B1831" s="13"/>
      <c r="C1831" s="13"/>
      <c r="D1831" s="29"/>
    </row>
    <row r="1832" spans="2:4" x14ac:dyDescent="0.25">
      <c r="B1832" s="13"/>
      <c r="C1832" s="13"/>
      <c r="D1832" s="29"/>
    </row>
    <row r="1833" spans="2:4" x14ac:dyDescent="0.25">
      <c r="B1833" s="13"/>
      <c r="C1833" s="13"/>
      <c r="D1833" s="29"/>
    </row>
    <row r="1834" spans="2:4" x14ac:dyDescent="0.25">
      <c r="B1834" s="13"/>
      <c r="C1834" s="13"/>
      <c r="D1834" s="29"/>
    </row>
    <row r="1835" spans="2:4" x14ac:dyDescent="0.25">
      <c r="B1835" s="13"/>
      <c r="C1835" s="13"/>
      <c r="D1835" s="29"/>
    </row>
    <row r="1836" spans="2:4" x14ac:dyDescent="0.25">
      <c r="B1836" s="13"/>
      <c r="C1836" s="13"/>
      <c r="D1836" s="29"/>
    </row>
    <row r="1837" spans="2:4" x14ac:dyDescent="0.25">
      <c r="B1837" s="13"/>
      <c r="C1837" s="13"/>
      <c r="D1837" s="29"/>
    </row>
    <row r="1838" spans="2:4" x14ac:dyDescent="0.25">
      <c r="B1838" s="13"/>
      <c r="C1838" s="13"/>
      <c r="D1838" s="29"/>
    </row>
    <row r="1839" spans="2:4" x14ac:dyDescent="0.25">
      <c r="B1839" s="13"/>
      <c r="C1839" s="13"/>
      <c r="D1839" s="29"/>
    </row>
    <row r="1840" spans="2:4" x14ac:dyDescent="0.25">
      <c r="B1840" s="13"/>
      <c r="C1840" s="13"/>
      <c r="D1840" s="29"/>
    </row>
    <row r="1841" spans="2:4" x14ac:dyDescent="0.25">
      <c r="B1841" s="13"/>
      <c r="C1841" s="13"/>
      <c r="D1841" s="29"/>
    </row>
    <row r="1842" spans="2:4" x14ac:dyDescent="0.25">
      <c r="B1842" s="13"/>
      <c r="C1842" s="13"/>
      <c r="D1842" s="29"/>
    </row>
    <row r="1843" spans="2:4" x14ac:dyDescent="0.25">
      <c r="B1843" s="13"/>
      <c r="C1843" s="13"/>
      <c r="D1843" s="29"/>
    </row>
    <row r="1844" spans="2:4" x14ac:dyDescent="0.25">
      <c r="B1844" s="13"/>
      <c r="C1844" s="13"/>
      <c r="D1844" s="29"/>
    </row>
    <row r="1845" spans="2:4" x14ac:dyDescent="0.25">
      <c r="B1845" s="13"/>
      <c r="C1845" s="13"/>
      <c r="D1845" s="29"/>
    </row>
    <row r="1846" spans="2:4" x14ac:dyDescent="0.25">
      <c r="B1846" s="13"/>
      <c r="C1846" s="13"/>
      <c r="D1846" s="29"/>
    </row>
    <row r="1847" spans="2:4" x14ac:dyDescent="0.25">
      <c r="B1847" s="13"/>
      <c r="C1847" s="13"/>
      <c r="D1847" s="29"/>
    </row>
    <row r="1848" spans="2:4" x14ac:dyDescent="0.25">
      <c r="B1848" s="13"/>
      <c r="C1848" s="13"/>
      <c r="D1848" s="29"/>
    </row>
    <row r="1849" spans="2:4" x14ac:dyDescent="0.25">
      <c r="B1849" s="13"/>
      <c r="C1849" s="13"/>
      <c r="D1849" s="29"/>
    </row>
    <row r="1850" spans="2:4" x14ac:dyDescent="0.25">
      <c r="B1850" s="13"/>
      <c r="C1850" s="13"/>
      <c r="D1850" s="29"/>
    </row>
    <row r="1851" spans="2:4" x14ac:dyDescent="0.25">
      <c r="B1851" s="13"/>
      <c r="C1851" s="13"/>
      <c r="D1851" s="29"/>
    </row>
    <row r="1852" spans="2:4" x14ac:dyDescent="0.25">
      <c r="B1852" s="13"/>
      <c r="C1852" s="13"/>
      <c r="D1852" s="29"/>
    </row>
    <row r="1853" spans="2:4" x14ac:dyDescent="0.25">
      <c r="B1853" s="13"/>
      <c r="C1853" s="13"/>
      <c r="D1853" s="29"/>
    </row>
    <row r="1854" spans="2:4" x14ac:dyDescent="0.25">
      <c r="B1854" s="13"/>
      <c r="C1854" s="13"/>
      <c r="D1854" s="29"/>
    </row>
    <row r="1855" spans="2:4" x14ac:dyDescent="0.25">
      <c r="B1855" s="13"/>
      <c r="C1855" s="13"/>
      <c r="D1855" s="29"/>
    </row>
    <row r="1856" spans="2:4" x14ac:dyDescent="0.25">
      <c r="B1856" s="13"/>
      <c r="C1856" s="13"/>
      <c r="D1856" s="29"/>
    </row>
    <row r="1857" spans="2:4" x14ac:dyDescent="0.25">
      <c r="B1857" s="13"/>
      <c r="C1857" s="13"/>
      <c r="D1857" s="29"/>
    </row>
    <row r="1858" spans="2:4" x14ac:dyDescent="0.25">
      <c r="B1858" s="13"/>
      <c r="C1858" s="13"/>
      <c r="D1858" s="29"/>
    </row>
    <row r="1859" spans="2:4" x14ac:dyDescent="0.25">
      <c r="B1859" s="13"/>
      <c r="C1859" s="13"/>
      <c r="D1859" s="29"/>
    </row>
    <row r="1860" spans="2:4" x14ac:dyDescent="0.25">
      <c r="B1860" s="13"/>
      <c r="C1860" s="13"/>
      <c r="D1860" s="29"/>
    </row>
    <row r="1861" spans="2:4" x14ac:dyDescent="0.25">
      <c r="B1861" s="13"/>
      <c r="C1861" s="13"/>
      <c r="D1861" s="29"/>
    </row>
    <row r="1862" spans="2:4" x14ac:dyDescent="0.25">
      <c r="B1862" s="13"/>
      <c r="C1862" s="13"/>
      <c r="D1862" s="29"/>
    </row>
    <row r="1863" spans="2:4" x14ac:dyDescent="0.25">
      <c r="B1863" s="13"/>
      <c r="C1863" s="13"/>
      <c r="D1863" s="29"/>
    </row>
    <row r="1864" spans="2:4" x14ac:dyDescent="0.25">
      <c r="B1864" s="13"/>
      <c r="C1864" s="13"/>
      <c r="D1864" s="29"/>
    </row>
    <row r="1865" spans="2:4" x14ac:dyDescent="0.25">
      <c r="B1865" s="13"/>
      <c r="C1865" s="13"/>
      <c r="D1865" s="29"/>
    </row>
    <row r="1866" spans="2:4" x14ac:dyDescent="0.25">
      <c r="B1866" s="13"/>
      <c r="C1866" s="13"/>
      <c r="D1866" s="29"/>
    </row>
    <row r="1867" spans="2:4" x14ac:dyDescent="0.25">
      <c r="B1867" s="13"/>
      <c r="C1867" s="13"/>
      <c r="D1867" s="29"/>
    </row>
    <row r="1868" spans="2:4" x14ac:dyDescent="0.25">
      <c r="B1868" s="13"/>
      <c r="C1868" s="13"/>
      <c r="D1868" s="29"/>
    </row>
    <row r="1869" spans="2:4" x14ac:dyDescent="0.25">
      <c r="B1869" s="13"/>
      <c r="C1869" s="13"/>
      <c r="D1869" s="29"/>
    </row>
    <row r="1870" spans="2:4" x14ac:dyDescent="0.25">
      <c r="B1870" s="13"/>
      <c r="C1870" s="13"/>
      <c r="D1870" s="29"/>
    </row>
    <row r="1871" spans="2:4" x14ac:dyDescent="0.25">
      <c r="B1871" s="13"/>
      <c r="C1871" s="13"/>
      <c r="D1871" s="29"/>
    </row>
    <row r="1872" spans="2:4" x14ac:dyDescent="0.25">
      <c r="B1872" s="13"/>
      <c r="C1872" s="13"/>
      <c r="D1872" s="29"/>
    </row>
    <row r="1873" spans="2:4" x14ac:dyDescent="0.25">
      <c r="B1873" s="13"/>
      <c r="C1873" s="13"/>
      <c r="D1873" s="29"/>
    </row>
    <row r="1874" spans="2:4" x14ac:dyDescent="0.25">
      <c r="B1874" s="13"/>
      <c r="C1874" s="13"/>
      <c r="D1874" s="29"/>
    </row>
    <row r="1875" spans="2:4" x14ac:dyDescent="0.25">
      <c r="B1875" s="13"/>
      <c r="C1875" s="13"/>
      <c r="D1875" s="29"/>
    </row>
    <row r="1876" spans="2:4" x14ac:dyDescent="0.25">
      <c r="B1876" s="13"/>
      <c r="C1876" s="13"/>
      <c r="D1876" s="29"/>
    </row>
    <row r="1877" spans="2:4" x14ac:dyDescent="0.25">
      <c r="B1877" s="13"/>
      <c r="C1877" s="13"/>
      <c r="D1877" s="29"/>
    </row>
    <row r="1878" spans="2:4" x14ac:dyDescent="0.25">
      <c r="B1878" s="13"/>
      <c r="C1878" s="13"/>
      <c r="D1878" s="29"/>
    </row>
    <row r="1879" spans="2:4" x14ac:dyDescent="0.25">
      <c r="B1879" s="13"/>
      <c r="C1879" s="13"/>
      <c r="D1879" s="29"/>
    </row>
    <row r="1880" spans="2:4" x14ac:dyDescent="0.25">
      <c r="B1880" s="13"/>
      <c r="C1880" s="13"/>
      <c r="D1880" s="29"/>
    </row>
    <row r="1881" spans="2:4" x14ac:dyDescent="0.25">
      <c r="B1881" s="13"/>
      <c r="C1881" s="13"/>
      <c r="D1881" s="29"/>
    </row>
    <row r="1882" spans="2:4" x14ac:dyDescent="0.25">
      <c r="B1882" s="13"/>
      <c r="C1882" s="13"/>
      <c r="D1882" s="29"/>
    </row>
    <row r="1883" spans="2:4" x14ac:dyDescent="0.25">
      <c r="B1883" s="13"/>
      <c r="C1883" s="13"/>
      <c r="D1883" s="29"/>
    </row>
    <row r="1884" spans="2:4" x14ac:dyDescent="0.25">
      <c r="B1884" s="13"/>
      <c r="C1884" s="13"/>
      <c r="D1884" s="29"/>
    </row>
    <row r="1885" spans="2:4" x14ac:dyDescent="0.25">
      <c r="B1885" s="13"/>
      <c r="C1885" s="13"/>
      <c r="D1885" s="29"/>
    </row>
    <row r="1886" spans="2:4" x14ac:dyDescent="0.25">
      <c r="B1886" s="13"/>
      <c r="C1886" s="13"/>
      <c r="D1886" s="29"/>
    </row>
    <row r="1887" spans="2:4" x14ac:dyDescent="0.25">
      <c r="B1887" s="13"/>
      <c r="C1887" s="13"/>
      <c r="D1887" s="29"/>
    </row>
    <row r="1888" spans="2:4" x14ac:dyDescent="0.25">
      <c r="B1888" s="13"/>
      <c r="C1888" s="13"/>
      <c r="D1888" s="29"/>
    </row>
    <row r="1889" spans="2:4" x14ac:dyDescent="0.25">
      <c r="B1889" s="13"/>
      <c r="C1889" s="13"/>
      <c r="D1889" s="29"/>
    </row>
    <row r="1890" spans="2:4" x14ac:dyDescent="0.25">
      <c r="B1890" s="13"/>
      <c r="C1890" s="13"/>
      <c r="D1890" s="29"/>
    </row>
    <row r="1891" spans="2:4" x14ac:dyDescent="0.25">
      <c r="B1891" s="13"/>
      <c r="C1891" s="13"/>
      <c r="D1891" s="29"/>
    </row>
    <row r="1892" spans="2:4" x14ac:dyDescent="0.25">
      <c r="B1892" s="13"/>
      <c r="C1892" s="13"/>
      <c r="D1892" s="29"/>
    </row>
    <row r="1893" spans="2:4" x14ac:dyDescent="0.25">
      <c r="B1893" s="13"/>
      <c r="C1893" s="13"/>
      <c r="D1893" s="29"/>
    </row>
    <row r="1894" spans="2:4" x14ac:dyDescent="0.25">
      <c r="B1894" s="13"/>
      <c r="C1894" s="13"/>
      <c r="D1894" s="29"/>
    </row>
    <row r="1895" spans="2:4" x14ac:dyDescent="0.25">
      <c r="B1895" s="13"/>
      <c r="C1895" s="13"/>
      <c r="D1895" s="29"/>
    </row>
    <row r="1896" spans="2:4" x14ac:dyDescent="0.25">
      <c r="B1896" s="13"/>
      <c r="C1896" s="13"/>
      <c r="D1896" s="29"/>
    </row>
    <row r="1897" spans="2:4" x14ac:dyDescent="0.25">
      <c r="B1897" s="13"/>
      <c r="C1897" s="13"/>
      <c r="D1897" s="29"/>
    </row>
    <row r="1898" spans="2:4" x14ac:dyDescent="0.25">
      <c r="B1898" s="13"/>
      <c r="C1898" s="13"/>
      <c r="D1898" s="29"/>
    </row>
    <row r="1899" spans="2:4" x14ac:dyDescent="0.25">
      <c r="B1899" s="13"/>
      <c r="C1899" s="13"/>
      <c r="D1899" s="29"/>
    </row>
    <row r="1900" spans="2:4" x14ac:dyDescent="0.25">
      <c r="B1900" s="13"/>
      <c r="C1900" s="13"/>
      <c r="D1900" s="29"/>
    </row>
    <row r="1901" spans="2:4" x14ac:dyDescent="0.25">
      <c r="B1901" s="13"/>
      <c r="C1901" s="13"/>
      <c r="D1901" s="29"/>
    </row>
    <row r="1902" spans="2:4" x14ac:dyDescent="0.25">
      <c r="B1902" s="13"/>
      <c r="C1902" s="13"/>
      <c r="D1902" s="29"/>
    </row>
    <row r="1903" spans="2:4" x14ac:dyDescent="0.25">
      <c r="B1903" s="13"/>
      <c r="C1903" s="13"/>
      <c r="D1903" s="29"/>
    </row>
    <row r="1904" spans="2:4" x14ac:dyDescent="0.25">
      <c r="B1904" s="13"/>
      <c r="C1904" s="13"/>
      <c r="D1904" s="29"/>
    </row>
    <row r="1905" spans="2:4" x14ac:dyDescent="0.25">
      <c r="B1905" s="13"/>
      <c r="C1905" s="13"/>
      <c r="D1905" s="29"/>
    </row>
    <row r="1906" spans="2:4" x14ac:dyDescent="0.25">
      <c r="B1906" s="13"/>
      <c r="C1906" s="13"/>
      <c r="D1906" s="29"/>
    </row>
    <row r="1907" spans="2:4" x14ac:dyDescent="0.25">
      <c r="B1907" s="13"/>
      <c r="C1907" s="13"/>
      <c r="D1907" s="29"/>
    </row>
    <row r="1908" spans="2:4" x14ac:dyDescent="0.25">
      <c r="B1908" s="13"/>
      <c r="C1908" s="13"/>
      <c r="D1908" s="29"/>
    </row>
    <row r="1909" spans="2:4" x14ac:dyDescent="0.25">
      <c r="B1909" s="13"/>
      <c r="C1909" s="13"/>
      <c r="D1909" s="29"/>
    </row>
    <row r="1910" spans="2:4" x14ac:dyDescent="0.25">
      <c r="B1910" s="13"/>
      <c r="C1910" s="13"/>
      <c r="D1910" s="29"/>
    </row>
    <row r="1911" spans="2:4" x14ac:dyDescent="0.25">
      <c r="B1911" s="13"/>
      <c r="C1911" s="13"/>
      <c r="D1911" s="29"/>
    </row>
    <row r="1912" spans="2:4" x14ac:dyDescent="0.25">
      <c r="B1912" s="13"/>
      <c r="C1912" s="13"/>
      <c r="D1912" s="29"/>
    </row>
    <row r="1913" spans="2:4" x14ac:dyDescent="0.25">
      <c r="B1913" s="13"/>
      <c r="C1913" s="13"/>
      <c r="D1913" s="29"/>
    </row>
    <row r="1914" spans="2:4" x14ac:dyDescent="0.25">
      <c r="B1914" s="13"/>
      <c r="C1914" s="13"/>
      <c r="D1914" s="29"/>
    </row>
    <row r="1915" spans="2:4" x14ac:dyDescent="0.25">
      <c r="B1915" s="13"/>
      <c r="C1915" s="13"/>
      <c r="D1915" s="29"/>
    </row>
    <row r="1916" spans="2:4" x14ac:dyDescent="0.25">
      <c r="B1916" s="13"/>
      <c r="C1916" s="13"/>
      <c r="D1916" s="29"/>
    </row>
    <row r="1917" spans="2:4" x14ac:dyDescent="0.25">
      <c r="B1917" s="13"/>
      <c r="C1917" s="13"/>
      <c r="D1917" s="29"/>
    </row>
    <row r="1918" spans="2:4" x14ac:dyDescent="0.25">
      <c r="B1918" s="13"/>
      <c r="C1918" s="13"/>
      <c r="D1918" s="29"/>
    </row>
    <row r="1919" spans="2:4" x14ac:dyDescent="0.25">
      <c r="B1919" s="13"/>
      <c r="C1919" s="13"/>
      <c r="D1919" s="29"/>
    </row>
    <row r="1920" spans="2:4" x14ac:dyDescent="0.25">
      <c r="B1920" s="13"/>
      <c r="C1920" s="13"/>
      <c r="D1920" s="29"/>
    </row>
    <row r="1921" spans="2:4" x14ac:dyDescent="0.25">
      <c r="B1921" s="13"/>
      <c r="C1921" s="13"/>
      <c r="D1921" s="29"/>
    </row>
    <row r="1922" spans="2:4" x14ac:dyDescent="0.25">
      <c r="B1922" s="13"/>
      <c r="C1922" s="13"/>
      <c r="D1922" s="29"/>
    </row>
    <row r="1923" spans="2:4" x14ac:dyDescent="0.25">
      <c r="B1923" s="13"/>
      <c r="C1923" s="13"/>
      <c r="D1923" s="29"/>
    </row>
    <row r="1924" spans="2:4" x14ac:dyDescent="0.25">
      <c r="B1924" s="13"/>
      <c r="C1924" s="13"/>
      <c r="D1924" s="29"/>
    </row>
    <row r="1925" spans="2:4" x14ac:dyDescent="0.25">
      <c r="B1925" s="13"/>
      <c r="C1925" s="13"/>
      <c r="D1925" s="29"/>
    </row>
    <row r="1926" spans="2:4" x14ac:dyDescent="0.25">
      <c r="B1926" s="13"/>
      <c r="C1926" s="13"/>
      <c r="D1926" s="29"/>
    </row>
    <row r="1927" spans="2:4" x14ac:dyDescent="0.25">
      <c r="B1927" s="13"/>
      <c r="C1927" s="13"/>
      <c r="D1927" s="29"/>
    </row>
    <row r="1928" spans="2:4" x14ac:dyDescent="0.25">
      <c r="B1928" s="13"/>
      <c r="C1928" s="13"/>
      <c r="D1928" s="29"/>
    </row>
    <row r="1929" spans="2:4" x14ac:dyDescent="0.25">
      <c r="B1929" s="13"/>
      <c r="C1929" s="13"/>
      <c r="D1929" s="29"/>
    </row>
    <row r="1930" spans="2:4" x14ac:dyDescent="0.25">
      <c r="B1930" s="13"/>
      <c r="C1930" s="13"/>
      <c r="D1930" s="29"/>
    </row>
    <row r="1931" spans="2:4" x14ac:dyDescent="0.25">
      <c r="B1931" s="13"/>
      <c r="C1931" s="13"/>
      <c r="D1931" s="29"/>
    </row>
    <row r="1932" spans="2:4" x14ac:dyDescent="0.25">
      <c r="B1932" s="13"/>
      <c r="C1932" s="13"/>
      <c r="D1932" s="29"/>
    </row>
    <row r="1933" spans="2:4" x14ac:dyDescent="0.25">
      <c r="B1933" s="13"/>
      <c r="C1933" s="13"/>
      <c r="D1933" s="29"/>
    </row>
    <row r="1934" spans="2:4" x14ac:dyDescent="0.25">
      <c r="B1934" s="13"/>
      <c r="C1934" s="13"/>
      <c r="D1934" s="29"/>
    </row>
    <row r="1935" spans="2:4" x14ac:dyDescent="0.25">
      <c r="B1935" s="13"/>
      <c r="C1935" s="13"/>
      <c r="D1935" s="29"/>
    </row>
    <row r="1936" spans="2:4" x14ac:dyDescent="0.25">
      <c r="B1936" s="13"/>
      <c r="C1936" s="13"/>
      <c r="D1936" s="29"/>
    </row>
    <row r="1937" spans="2:4" x14ac:dyDescent="0.25">
      <c r="B1937" s="13"/>
      <c r="C1937" s="13"/>
      <c r="D1937" s="29"/>
    </row>
    <row r="1938" spans="2:4" x14ac:dyDescent="0.25">
      <c r="B1938" s="13"/>
      <c r="C1938" s="13"/>
      <c r="D1938" s="29"/>
    </row>
    <row r="1939" spans="2:4" x14ac:dyDescent="0.25">
      <c r="B1939" s="13"/>
      <c r="C1939" s="13"/>
      <c r="D1939" s="29"/>
    </row>
    <row r="1940" spans="2:4" x14ac:dyDescent="0.25">
      <c r="B1940" s="13"/>
      <c r="C1940" s="13"/>
      <c r="D1940" s="29"/>
    </row>
    <row r="1941" spans="2:4" x14ac:dyDescent="0.25">
      <c r="B1941" s="13"/>
      <c r="C1941" s="13"/>
      <c r="D1941" s="29"/>
    </row>
    <row r="1942" spans="2:4" x14ac:dyDescent="0.25">
      <c r="B1942" s="13"/>
      <c r="C1942" s="13"/>
      <c r="D1942" s="29"/>
    </row>
    <row r="1943" spans="2:4" x14ac:dyDescent="0.25">
      <c r="B1943" s="13"/>
      <c r="C1943" s="13"/>
      <c r="D1943" s="29"/>
    </row>
    <row r="1944" spans="2:4" x14ac:dyDescent="0.25">
      <c r="B1944" s="13"/>
      <c r="C1944" s="13"/>
      <c r="D1944" s="29"/>
    </row>
    <row r="1945" spans="2:4" x14ac:dyDescent="0.25">
      <c r="B1945" s="13"/>
      <c r="C1945" s="13"/>
      <c r="D1945" s="29"/>
    </row>
    <row r="1946" spans="2:4" x14ac:dyDescent="0.25">
      <c r="B1946" s="13"/>
      <c r="C1946" s="13"/>
      <c r="D1946" s="29"/>
    </row>
    <row r="1947" spans="2:4" x14ac:dyDescent="0.25">
      <c r="B1947" s="13"/>
      <c r="C1947" s="13"/>
      <c r="D1947" s="29"/>
    </row>
    <row r="1948" spans="2:4" x14ac:dyDescent="0.25">
      <c r="B1948" s="13"/>
      <c r="C1948" s="13"/>
      <c r="D1948" s="29"/>
    </row>
    <row r="1949" spans="2:4" x14ac:dyDescent="0.25">
      <c r="B1949" s="13"/>
      <c r="C1949" s="13"/>
      <c r="D1949" s="29"/>
    </row>
    <row r="1950" spans="2:4" x14ac:dyDescent="0.25">
      <c r="B1950" s="13"/>
      <c r="C1950" s="13"/>
      <c r="D1950" s="29"/>
    </row>
    <row r="1951" spans="2:4" x14ac:dyDescent="0.25">
      <c r="B1951" s="13"/>
      <c r="C1951" s="13"/>
      <c r="D1951" s="29"/>
    </row>
    <row r="1952" spans="2:4" x14ac:dyDescent="0.25">
      <c r="B1952" s="13"/>
      <c r="C1952" s="13"/>
      <c r="D1952" s="29"/>
    </row>
    <row r="1953" spans="2:4" x14ac:dyDescent="0.25">
      <c r="B1953" s="13"/>
      <c r="C1953" s="13"/>
      <c r="D1953" s="29"/>
    </row>
    <row r="1954" spans="2:4" x14ac:dyDescent="0.25">
      <c r="B1954" s="13"/>
      <c r="C1954" s="13"/>
      <c r="D1954" s="29"/>
    </row>
    <row r="1955" spans="2:4" x14ac:dyDescent="0.25">
      <c r="B1955" s="13"/>
      <c r="C1955" s="13"/>
      <c r="D1955" s="29"/>
    </row>
    <row r="1956" spans="2:4" x14ac:dyDescent="0.25">
      <c r="B1956" s="13"/>
      <c r="C1956" s="13"/>
      <c r="D1956" s="29"/>
    </row>
    <row r="1957" spans="2:4" x14ac:dyDescent="0.25">
      <c r="B1957" s="13"/>
      <c r="C1957" s="13"/>
      <c r="D1957" s="29"/>
    </row>
    <row r="1958" spans="2:4" x14ac:dyDescent="0.25">
      <c r="B1958" s="13"/>
      <c r="C1958" s="13"/>
      <c r="D1958" s="29"/>
    </row>
    <row r="1959" spans="2:4" x14ac:dyDescent="0.25">
      <c r="B1959" s="13"/>
      <c r="C1959" s="13"/>
      <c r="D1959" s="29"/>
    </row>
    <row r="1960" spans="2:4" x14ac:dyDescent="0.25">
      <c r="B1960" s="13"/>
      <c r="C1960" s="13"/>
      <c r="D1960" s="29"/>
    </row>
    <row r="1961" spans="2:4" x14ac:dyDescent="0.25">
      <c r="B1961" s="13"/>
      <c r="C1961" s="13"/>
      <c r="D1961" s="29"/>
    </row>
    <row r="1962" spans="2:4" x14ac:dyDescent="0.25">
      <c r="B1962" s="13"/>
      <c r="C1962" s="13"/>
      <c r="D1962" s="29"/>
    </row>
    <row r="1963" spans="2:4" x14ac:dyDescent="0.25">
      <c r="B1963" s="13"/>
      <c r="C1963" s="13"/>
      <c r="D1963" s="29"/>
    </row>
    <row r="1964" spans="2:4" x14ac:dyDescent="0.25">
      <c r="B1964" s="13"/>
      <c r="C1964" s="13"/>
      <c r="D1964" s="29"/>
    </row>
    <row r="1965" spans="2:4" x14ac:dyDescent="0.25">
      <c r="B1965" s="13"/>
      <c r="C1965" s="13"/>
      <c r="D1965" s="29"/>
    </row>
    <row r="1966" spans="2:4" x14ac:dyDescent="0.25">
      <c r="B1966" s="13"/>
      <c r="C1966" s="13"/>
      <c r="D1966" s="29"/>
    </row>
    <row r="1967" spans="2:4" x14ac:dyDescent="0.25">
      <c r="B1967" s="13"/>
      <c r="C1967" s="13"/>
      <c r="D1967" s="29"/>
    </row>
    <row r="1968" spans="2:4" x14ac:dyDescent="0.25">
      <c r="B1968" s="13"/>
      <c r="C1968" s="13"/>
      <c r="D1968" s="29"/>
    </row>
    <row r="1969" spans="2:4" x14ac:dyDescent="0.25">
      <c r="B1969" s="13"/>
      <c r="C1969" s="13"/>
      <c r="D1969" s="29"/>
    </row>
    <row r="1970" spans="2:4" x14ac:dyDescent="0.25">
      <c r="B1970" s="13"/>
      <c r="C1970" s="13"/>
      <c r="D1970" s="29"/>
    </row>
    <row r="1971" spans="2:4" x14ac:dyDescent="0.25">
      <c r="B1971" s="13"/>
      <c r="C1971" s="13"/>
      <c r="D1971" s="29"/>
    </row>
    <row r="1972" spans="2:4" x14ac:dyDescent="0.25">
      <c r="B1972" s="13"/>
      <c r="C1972" s="13"/>
      <c r="D1972" s="29"/>
    </row>
    <row r="1973" spans="2:4" x14ac:dyDescent="0.25">
      <c r="B1973" s="13"/>
      <c r="C1973" s="13"/>
      <c r="D1973" s="29"/>
    </row>
    <row r="1974" spans="2:4" x14ac:dyDescent="0.25">
      <c r="B1974" s="13"/>
      <c r="C1974" s="13"/>
      <c r="D1974" s="29"/>
    </row>
    <row r="1975" spans="2:4" x14ac:dyDescent="0.25">
      <c r="B1975" s="13"/>
      <c r="C1975" s="13"/>
      <c r="D1975" s="29"/>
    </row>
    <row r="1976" spans="2:4" x14ac:dyDescent="0.25">
      <c r="B1976" s="13"/>
      <c r="C1976" s="13"/>
      <c r="D1976" s="29"/>
    </row>
    <row r="1977" spans="2:4" x14ac:dyDescent="0.25">
      <c r="B1977" s="13"/>
      <c r="C1977" s="13"/>
      <c r="D1977" s="29"/>
    </row>
    <row r="1978" spans="2:4" x14ac:dyDescent="0.25">
      <c r="B1978" s="13"/>
      <c r="C1978" s="13"/>
      <c r="D1978" s="29"/>
    </row>
    <row r="1979" spans="2:4" x14ac:dyDescent="0.25">
      <c r="B1979" s="13"/>
      <c r="C1979" s="13"/>
      <c r="D1979" s="29"/>
    </row>
    <row r="1980" spans="2:4" x14ac:dyDescent="0.25">
      <c r="B1980" s="13"/>
      <c r="C1980" s="13"/>
      <c r="D1980" s="29"/>
    </row>
    <row r="1981" spans="2:4" x14ac:dyDescent="0.25">
      <c r="B1981" s="13"/>
      <c r="C1981" s="13"/>
      <c r="D1981" s="29"/>
    </row>
    <row r="1982" spans="2:4" x14ac:dyDescent="0.25">
      <c r="B1982" s="13"/>
      <c r="C1982" s="13"/>
      <c r="D1982" s="29"/>
    </row>
    <row r="1983" spans="2:4" x14ac:dyDescent="0.25">
      <c r="B1983" s="13"/>
      <c r="C1983" s="13"/>
      <c r="D1983" s="29"/>
    </row>
    <row r="1984" spans="2:4" x14ac:dyDescent="0.25">
      <c r="B1984" s="13"/>
      <c r="C1984" s="13"/>
      <c r="D1984" s="29"/>
    </row>
    <row r="1985" spans="2:4" x14ac:dyDescent="0.25">
      <c r="B1985" s="13"/>
      <c r="C1985" s="13"/>
      <c r="D1985" s="29"/>
    </row>
    <row r="1986" spans="2:4" x14ac:dyDescent="0.25">
      <c r="B1986" s="13"/>
      <c r="C1986" s="13"/>
      <c r="D1986" s="29"/>
    </row>
    <row r="1987" spans="2:4" x14ac:dyDescent="0.25">
      <c r="B1987" s="13"/>
      <c r="C1987" s="13"/>
      <c r="D1987" s="29"/>
    </row>
    <row r="1988" spans="2:4" x14ac:dyDescent="0.25">
      <c r="B1988" s="13"/>
      <c r="C1988" s="13"/>
      <c r="D1988" s="29"/>
    </row>
    <row r="1989" spans="2:4" x14ac:dyDescent="0.25">
      <c r="B1989" s="13"/>
      <c r="C1989" s="13"/>
      <c r="D1989" s="29"/>
    </row>
    <row r="1990" spans="2:4" x14ac:dyDescent="0.25">
      <c r="B1990" s="13"/>
      <c r="C1990" s="13"/>
      <c r="D1990" s="29"/>
    </row>
    <row r="1991" spans="2:4" x14ac:dyDescent="0.25">
      <c r="B1991" s="13"/>
      <c r="C1991" s="13"/>
      <c r="D1991" s="29"/>
    </row>
    <row r="1992" spans="2:4" x14ac:dyDescent="0.25">
      <c r="B1992" s="13"/>
      <c r="C1992" s="13"/>
      <c r="D1992" s="29"/>
    </row>
    <row r="1993" spans="2:4" x14ac:dyDescent="0.25">
      <c r="B1993" s="13"/>
      <c r="C1993" s="13"/>
      <c r="D1993" s="29"/>
    </row>
    <row r="1994" spans="2:4" x14ac:dyDescent="0.25">
      <c r="B1994" s="13"/>
      <c r="C1994" s="13"/>
      <c r="D1994" s="29"/>
    </row>
    <row r="1995" spans="2:4" x14ac:dyDescent="0.25">
      <c r="B1995" s="13"/>
      <c r="C1995" s="13"/>
      <c r="D1995" s="29"/>
    </row>
    <row r="1996" spans="2:4" x14ac:dyDescent="0.25">
      <c r="B1996" s="13"/>
      <c r="C1996" s="13"/>
      <c r="D1996" s="29"/>
    </row>
    <row r="1997" spans="2:4" x14ac:dyDescent="0.25">
      <c r="B1997" s="13"/>
      <c r="C1997" s="13"/>
      <c r="D1997" s="29"/>
    </row>
    <row r="1998" spans="2:4" x14ac:dyDescent="0.25">
      <c r="B1998" s="13"/>
      <c r="C1998" s="13"/>
      <c r="D1998" s="29"/>
    </row>
    <row r="1999" spans="2:4" x14ac:dyDescent="0.25">
      <c r="B1999" s="13"/>
      <c r="C1999" s="13"/>
      <c r="D1999" s="29"/>
    </row>
    <row r="2000" spans="2:4" x14ac:dyDescent="0.25">
      <c r="B2000" s="13"/>
      <c r="C2000" s="13"/>
      <c r="D2000" s="29"/>
    </row>
    <row r="2001" spans="2:4" x14ac:dyDescent="0.25">
      <c r="B2001" s="13"/>
      <c r="C2001" s="13"/>
      <c r="D2001" s="29"/>
    </row>
    <row r="2002" spans="2:4" x14ac:dyDescent="0.25">
      <c r="B2002" s="13"/>
      <c r="C2002" s="13"/>
      <c r="D2002" s="29"/>
    </row>
    <row r="2003" spans="2:4" x14ac:dyDescent="0.25">
      <c r="B2003" s="13"/>
      <c r="C2003" s="13"/>
      <c r="D2003" s="29"/>
    </row>
    <row r="2004" spans="2:4" x14ac:dyDescent="0.25">
      <c r="B2004" s="13"/>
      <c r="C2004" s="13"/>
      <c r="D2004" s="29"/>
    </row>
    <row r="2005" spans="2:4" x14ac:dyDescent="0.25">
      <c r="B2005" s="13"/>
      <c r="C2005" s="13"/>
      <c r="D2005" s="29"/>
    </row>
    <row r="2006" spans="2:4" x14ac:dyDescent="0.25">
      <c r="B2006" s="13"/>
      <c r="C2006" s="13"/>
      <c r="D2006" s="29"/>
    </row>
    <row r="2007" spans="2:4" x14ac:dyDescent="0.25">
      <c r="B2007" s="13"/>
      <c r="C2007" s="13"/>
      <c r="D2007" s="29"/>
    </row>
    <row r="2008" spans="2:4" x14ac:dyDescent="0.25">
      <c r="B2008" s="13"/>
      <c r="C2008" s="13"/>
      <c r="D2008" s="29"/>
    </row>
    <row r="2009" spans="2:4" x14ac:dyDescent="0.25">
      <c r="B2009" s="13"/>
      <c r="C2009" s="13"/>
      <c r="D2009" s="29"/>
    </row>
    <row r="2010" spans="2:4" x14ac:dyDescent="0.25">
      <c r="B2010" s="13"/>
      <c r="C2010" s="13"/>
      <c r="D2010" s="29"/>
    </row>
    <row r="2011" spans="2:4" x14ac:dyDescent="0.25">
      <c r="B2011" s="13"/>
      <c r="C2011" s="13"/>
      <c r="D2011" s="29"/>
    </row>
    <row r="2012" spans="2:4" x14ac:dyDescent="0.25">
      <c r="B2012" s="13"/>
      <c r="C2012" s="13"/>
      <c r="D2012" s="29"/>
    </row>
    <row r="2013" spans="2:4" x14ac:dyDescent="0.25">
      <c r="B2013" s="13"/>
      <c r="C2013" s="13"/>
      <c r="D2013" s="29"/>
    </row>
    <row r="2014" spans="2:4" x14ac:dyDescent="0.25">
      <c r="B2014" s="13"/>
      <c r="C2014" s="13"/>
      <c r="D2014" s="29"/>
    </row>
    <row r="2015" spans="2:4" x14ac:dyDescent="0.25">
      <c r="B2015" s="13"/>
      <c r="C2015" s="13"/>
      <c r="D2015" s="29"/>
    </row>
    <row r="2016" spans="2:4" x14ac:dyDescent="0.25">
      <c r="B2016" s="13"/>
      <c r="C2016" s="13"/>
      <c r="D2016" s="29"/>
    </row>
    <row r="2017" spans="2:4" x14ac:dyDescent="0.25">
      <c r="B2017" s="13"/>
      <c r="C2017" s="13"/>
      <c r="D2017" s="29"/>
    </row>
    <row r="2018" spans="2:4" x14ac:dyDescent="0.25">
      <c r="B2018" s="13"/>
      <c r="C2018" s="13"/>
      <c r="D2018" s="29"/>
    </row>
    <row r="2019" spans="2:4" x14ac:dyDescent="0.25">
      <c r="B2019" s="22"/>
      <c r="C2019" s="22"/>
      <c r="D2019" s="29"/>
    </row>
    <row r="2020" spans="2:4" x14ac:dyDescent="0.25">
      <c r="B2020" s="22"/>
      <c r="C2020" s="22"/>
      <c r="D2020" s="29"/>
    </row>
    <row r="2021" spans="2:4" x14ac:dyDescent="0.25">
      <c r="B2021" s="22"/>
      <c r="C2021" s="22"/>
      <c r="D2021" s="29"/>
    </row>
    <row r="2022" spans="2:4" x14ac:dyDescent="0.25">
      <c r="B2022" s="22"/>
      <c r="C2022" s="22"/>
      <c r="D2022" s="29"/>
    </row>
    <row r="2023" spans="2:4" x14ac:dyDescent="0.25">
      <c r="B2023" s="22"/>
      <c r="C2023" s="22"/>
      <c r="D2023" s="29"/>
    </row>
    <row r="2024" spans="2:4" x14ac:dyDescent="0.25">
      <c r="B2024" s="22"/>
      <c r="C2024" s="22"/>
      <c r="D2024" s="29"/>
    </row>
    <row r="2025" spans="2:4" x14ac:dyDescent="0.25">
      <c r="B2025" s="22"/>
      <c r="C2025" s="22"/>
      <c r="D2025" s="29"/>
    </row>
    <row r="2026" spans="2:4" x14ac:dyDescent="0.25">
      <c r="B2026" s="22"/>
      <c r="C2026" s="22"/>
      <c r="D2026" s="29"/>
    </row>
    <row r="2027" spans="2:4" x14ac:dyDescent="0.25">
      <c r="B2027" s="22"/>
      <c r="C2027" s="22"/>
      <c r="D2027" s="29"/>
    </row>
    <row r="2028" spans="2:4" x14ac:dyDescent="0.25">
      <c r="B2028" s="22"/>
      <c r="C2028" s="22"/>
      <c r="D2028" s="29"/>
    </row>
    <row r="2029" spans="2:4" x14ac:dyDescent="0.25">
      <c r="B2029" s="22"/>
      <c r="C2029" s="22"/>
      <c r="D2029" s="29"/>
    </row>
    <row r="2030" spans="2:4" x14ac:dyDescent="0.25">
      <c r="B2030" s="22"/>
      <c r="C2030" s="22"/>
      <c r="D2030" s="29"/>
    </row>
    <row r="2031" spans="2:4" x14ac:dyDescent="0.25">
      <c r="B2031" s="22"/>
      <c r="C2031" s="22"/>
      <c r="D2031" s="29"/>
    </row>
    <row r="2032" spans="2:4" x14ac:dyDescent="0.25">
      <c r="B2032" s="22"/>
      <c r="C2032" s="22"/>
      <c r="D2032" s="29"/>
    </row>
    <row r="2033" spans="2:4" x14ac:dyDescent="0.25">
      <c r="B2033" s="22"/>
      <c r="C2033" s="22"/>
      <c r="D2033" s="29"/>
    </row>
    <row r="2034" spans="2:4" x14ac:dyDescent="0.25">
      <c r="B2034" s="22"/>
      <c r="C2034" s="22"/>
      <c r="D2034" s="29"/>
    </row>
    <row r="2035" spans="2:4" x14ac:dyDescent="0.25">
      <c r="B2035" s="22"/>
      <c r="C2035" s="22"/>
      <c r="D2035" s="29"/>
    </row>
    <row r="2036" spans="2:4" x14ac:dyDescent="0.25">
      <c r="B2036" s="22"/>
      <c r="C2036" s="22"/>
      <c r="D2036" s="29"/>
    </row>
    <row r="2037" spans="2:4" x14ac:dyDescent="0.25">
      <c r="B2037" s="22"/>
      <c r="C2037" s="22"/>
      <c r="D2037" s="29"/>
    </row>
    <row r="2038" spans="2:4" x14ac:dyDescent="0.25">
      <c r="B2038" s="22"/>
      <c r="C2038" s="22"/>
      <c r="D2038" s="29"/>
    </row>
    <row r="2039" spans="2:4" x14ac:dyDescent="0.25">
      <c r="B2039" s="22"/>
      <c r="C2039" s="22"/>
      <c r="D2039" s="29"/>
    </row>
    <row r="2040" spans="2:4" x14ac:dyDescent="0.25">
      <c r="B2040" s="22"/>
      <c r="C2040" s="22"/>
      <c r="D2040" s="29"/>
    </row>
    <row r="2041" spans="2:4" x14ac:dyDescent="0.25">
      <c r="B2041" s="22"/>
      <c r="C2041" s="22"/>
      <c r="D2041" s="29"/>
    </row>
    <row r="2042" spans="2:4" x14ac:dyDescent="0.25">
      <c r="B2042" s="22"/>
      <c r="C2042" s="22"/>
      <c r="D2042" s="29"/>
    </row>
    <row r="2043" spans="2:4" x14ac:dyDescent="0.25">
      <c r="B2043" s="22"/>
      <c r="C2043" s="22"/>
      <c r="D2043" s="29"/>
    </row>
    <row r="2044" spans="2:4" x14ac:dyDescent="0.25">
      <c r="B2044" s="22"/>
      <c r="C2044" s="22"/>
      <c r="D2044" s="29"/>
    </row>
    <row r="2045" spans="2:4" x14ac:dyDescent="0.25">
      <c r="B2045" s="22"/>
      <c r="C2045" s="22"/>
      <c r="D2045" s="29"/>
    </row>
    <row r="2046" spans="2:4" x14ac:dyDescent="0.25">
      <c r="B2046" s="22"/>
      <c r="C2046" s="22"/>
      <c r="D2046" s="29"/>
    </row>
    <row r="2047" spans="2:4" x14ac:dyDescent="0.25">
      <c r="B2047" s="22"/>
      <c r="C2047" s="22"/>
      <c r="D2047" s="29"/>
    </row>
    <row r="2048" spans="2:4" x14ac:dyDescent="0.25">
      <c r="B2048" s="22"/>
      <c r="C2048" s="22"/>
      <c r="D2048" s="29"/>
    </row>
    <row r="2049" spans="2:4" x14ac:dyDescent="0.25">
      <c r="B2049" s="22"/>
      <c r="C2049" s="22"/>
      <c r="D2049" s="29"/>
    </row>
    <row r="2050" spans="2:4" x14ac:dyDescent="0.25">
      <c r="B2050" s="22"/>
      <c r="C2050" s="22"/>
      <c r="D2050" s="29"/>
    </row>
    <row r="2051" spans="2:4" x14ac:dyDescent="0.25">
      <c r="B2051" s="22"/>
      <c r="C2051" s="22"/>
      <c r="D2051" s="29"/>
    </row>
    <row r="2052" spans="2:4" x14ac:dyDescent="0.25">
      <c r="B2052" s="22"/>
      <c r="C2052" s="22"/>
      <c r="D2052" s="29"/>
    </row>
    <row r="2053" spans="2:4" x14ac:dyDescent="0.25">
      <c r="B2053" s="22"/>
      <c r="C2053" s="22"/>
      <c r="D2053" s="29"/>
    </row>
    <row r="2054" spans="2:4" x14ac:dyDescent="0.25">
      <c r="B2054" s="22"/>
      <c r="C2054" s="22"/>
      <c r="D2054" s="29"/>
    </row>
    <row r="2055" spans="2:4" x14ac:dyDescent="0.25">
      <c r="B2055" s="22"/>
      <c r="C2055" s="22"/>
      <c r="D2055" s="29"/>
    </row>
    <row r="2056" spans="2:4" x14ac:dyDescent="0.25">
      <c r="B2056" s="22"/>
      <c r="C2056" s="22"/>
      <c r="D2056" s="29"/>
    </row>
    <row r="2057" spans="2:4" x14ac:dyDescent="0.25">
      <c r="B2057" s="22"/>
      <c r="C2057" s="22"/>
      <c r="D2057" s="29"/>
    </row>
    <row r="2058" spans="2:4" x14ac:dyDescent="0.25">
      <c r="B2058" s="22"/>
      <c r="C2058" s="22"/>
      <c r="D2058" s="29"/>
    </row>
    <row r="2059" spans="2:4" x14ac:dyDescent="0.25">
      <c r="B2059" s="22"/>
      <c r="C2059" s="22"/>
      <c r="D2059" s="29"/>
    </row>
    <row r="2060" spans="2:4" x14ac:dyDescent="0.25">
      <c r="B2060" s="22"/>
      <c r="C2060" s="22"/>
      <c r="D2060" s="29"/>
    </row>
    <row r="2061" spans="2:4" x14ac:dyDescent="0.25">
      <c r="B2061" s="22"/>
      <c r="C2061" s="22"/>
      <c r="D2061" s="29"/>
    </row>
    <row r="2062" spans="2:4" x14ac:dyDescent="0.25">
      <c r="B2062" s="22"/>
      <c r="C2062" s="22"/>
      <c r="D2062" s="29"/>
    </row>
    <row r="2063" spans="2:4" x14ac:dyDescent="0.25">
      <c r="B2063" s="22"/>
      <c r="C2063" s="22"/>
      <c r="D2063" s="29"/>
    </row>
    <row r="2064" spans="2:4" x14ac:dyDescent="0.25">
      <c r="B2064" s="22"/>
      <c r="C2064" s="22"/>
      <c r="D2064" s="29"/>
    </row>
    <row r="2065" spans="2:4" x14ac:dyDescent="0.25">
      <c r="B2065" s="22"/>
      <c r="C2065" s="22"/>
      <c r="D2065" s="29"/>
    </row>
    <row r="2066" spans="2:4" x14ac:dyDescent="0.25">
      <c r="B2066" s="22"/>
      <c r="C2066" s="22"/>
      <c r="D2066" s="29"/>
    </row>
    <row r="2067" spans="2:4" x14ac:dyDescent="0.25">
      <c r="B2067" s="22"/>
      <c r="C2067" s="22"/>
      <c r="D2067" s="29"/>
    </row>
    <row r="2068" spans="2:4" x14ac:dyDescent="0.25">
      <c r="B2068" s="22"/>
      <c r="C2068" s="22"/>
      <c r="D2068" s="29"/>
    </row>
    <row r="2069" spans="2:4" x14ac:dyDescent="0.25">
      <c r="B2069" s="22"/>
      <c r="C2069" s="22"/>
      <c r="D2069" s="29"/>
    </row>
    <row r="2070" spans="2:4" x14ac:dyDescent="0.25">
      <c r="B2070" s="22"/>
      <c r="C2070" s="22"/>
      <c r="D2070" s="29"/>
    </row>
    <row r="2071" spans="2:4" x14ac:dyDescent="0.25">
      <c r="B2071" s="22"/>
      <c r="C2071" s="22"/>
      <c r="D2071" s="29"/>
    </row>
    <row r="2072" spans="2:4" x14ac:dyDescent="0.25">
      <c r="B2072" s="22"/>
      <c r="C2072" s="22"/>
      <c r="D2072" s="29"/>
    </row>
    <row r="2073" spans="2:4" x14ac:dyDescent="0.25">
      <c r="B2073" s="22"/>
      <c r="C2073" s="22"/>
      <c r="D2073" s="29"/>
    </row>
    <row r="2074" spans="2:4" x14ac:dyDescent="0.25">
      <c r="B2074" s="22"/>
      <c r="C2074" s="22"/>
      <c r="D2074" s="29"/>
    </row>
    <row r="2075" spans="2:4" x14ac:dyDescent="0.25">
      <c r="B2075" s="22"/>
      <c r="C2075" s="22"/>
      <c r="D2075" s="29"/>
    </row>
    <row r="2076" spans="2:4" x14ac:dyDescent="0.25">
      <c r="B2076" s="22"/>
      <c r="C2076" s="22"/>
      <c r="D2076" s="29"/>
    </row>
    <row r="2077" spans="2:4" x14ac:dyDescent="0.25">
      <c r="B2077" s="22"/>
      <c r="C2077" s="22"/>
      <c r="D2077" s="29"/>
    </row>
    <row r="2078" spans="2:4" x14ac:dyDescent="0.25">
      <c r="B2078" s="22"/>
      <c r="C2078" s="22"/>
      <c r="D2078" s="29"/>
    </row>
    <row r="2079" spans="2:4" x14ac:dyDescent="0.25">
      <c r="B2079" s="22"/>
      <c r="C2079" s="22"/>
      <c r="D2079" s="29"/>
    </row>
    <row r="2080" spans="2:4" x14ac:dyDescent="0.25">
      <c r="B2080" s="22"/>
      <c r="C2080" s="22"/>
      <c r="D2080" s="29"/>
    </row>
    <row r="2081" spans="2:4" x14ac:dyDescent="0.25">
      <c r="B2081" s="22"/>
      <c r="C2081" s="22"/>
      <c r="D2081" s="29"/>
    </row>
    <row r="2082" spans="2:4" x14ac:dyDescent="0.25">
      <c r="B2082" s="22"/>
      <c r="C2082" s="22"/>
      <c r="D2082" s="29"/>
    </row>
    <row r="2083" spans="2:4" x14ac:dyDescent="0.25">
      <c r="B2083" s="22"/>
      <c r="C2083" s="22"/>
      <c r="D2083" s="29"/>
    </row>
    <row r="2084" spans="2:4" x14ac:dyDescent="0.25">
      <c r="B2084" s="22"/>
      <c r="C2084" s="22"/>
      <c r="D2084" s="29"/>
    </row>
    <row r="2085" spans="2:4" x14ac:dyDescent="0.25">
      <c r="B2085" s="22"/>
      <c r="C2085" s="22"/>
      <c r="D2085" s="29"/>
    </row>
    <row r="2086" spans="2:4" x14ac:dyDescent="0.25">
      <c r="B2086" s="22"/>
      <c r="C2086" s="22"/>
      <c r="D2086" s="29"/>
    </row>
    <row r="2087" spans="2:4" x14ac:dyDescent="0.25">
      <c r="B2087" s="22"/>
      <c r="C2087" s="22"/>
      <c r="D2087" s="29"/>
    </row>
    <row r="2088" spans="2:4" x14ac:dyDescent="0.25">
      <c r="B2088" s="22"/>
      <c r="C2088" s="22"/>
      <c r="D2088" s="29"/>
    </row>
    <row r="2089" spans="2:4" x14ac:dyDescent="0.25">
      <c r="B2089" s="22"/>
      <c r="C2089" s="22"/>
      <c r="D2089" s="29"/>
    </row>
    <row r="2090" spans="2:4" x14ac:dyDescent="0.25">
      <c r="B2090" s="22"/>
      <c r="C2090" s="22"/>
      <c r="D2090" s="29"/>
    </row>
    <row r="2091" spans="2:4" x14ac:dyDescent="0.25">
      <c r="B2091" s="22"/>
      <c r="C2091" s="22"/>
      <c r="D2091" s="29"/>
    </row>
    <row r="2092" spans="2:4" x14ac:dyDescent="0.25">
      <c r="B2092" s="22"/>
      <c r="C2092" s="22"/>
      <c r="D2092" s="29"/>
    </row>
    <row r="2093" spans="2:4" x14ac:dyDescent="0.25">
      <c r="B2093" s="22"/>
      <c r="C2093" s="22"/>
      <c r="D2093" s="29"/>
    </row>
    <row r="2094" spans="2:4" x14ac:dyDescent="0.25">
      <c r="B2094" s="22"/>
      <c r="C2094" s="22"/>
      <c r="D2094" s="29"/>
    </row>
    <row r="2095" spans="2:4" x14ac:dyDescent="0.25">
      <c r="B2095" s="22"/>
      <c r="C2095" s="22"/>
      <c r="D2095" s="29"/>
    </row>
    <row r="2096" spans="2:4" x14ac:dyDescent="0.25">
      <c r="B2096" s="22"/>
      <c r="C2096" s="22"/>
      <c r="D2096" s="29"/>
    </row>
    <row r="2097" spans="2:4" x14ac:dyDescent="0.25">
      <c r="B2097" s="22"/>
      <c r="C2097" s="22"/>
      <c r="D2097" s="29"/>
    </row>
    <row r="2098" spans="2:4" x14ac:dyDescent="0.25">
      <c r="B2098" s="22"/>
      <c r="C2098" s="22"/>
      <c r="D2098" s="29"/>
    </row>
    <row r="2099" spans="2:4" x14ac:dyDescent="0.25">
      <c r="B2099" s="22"/>
      <c r="C2099" s="22"/>
      <c r="D2099" s="29"/>
    </row>
    <row r="2100" spans="2:4" x14ac:dyDescent="0.25">
      <c r="B2100" s="22"/>
      <c r="C2100" s="22"/>
      <c r="D2100" s="29"/>
    </row>
    <row r="2101" spans="2:4" x14ac:dyDescent="0.25">
      <c r="B2101" s="22"/>
      <c r="C2101" s="22"/>
      <c r="D2101" s="29"/>
    </row>
    <row r="2102" spans="2:4" x14ac:dyDescent="0.25">
      <c r="B2102" s="22"/>
      <c r="C2102" s="22"/>
      <c r="D2102" s="29"/>
    </row>
    <row r="2103" spans="2:4" x14ac:dyDescent="0.25">
      <c r="B2103" s="22"/>
      <c r="C2103" s="22"/>
      <c r="D2103" s="29"/>
    </row>
    <row r="2104" spans="2:4" x14ac:dyDescent="0.25">
      <c r="B2104" s="22"/>
      <c r="C2104" s="22"/>
      <c r="D2104" s="29"/>
    </row>
    <row r="2105" spans="2:4" x14ac:dyDescent="0.25">
      <c r="B2105" s="22"/>
      <c r="C2105" s="22"/>
      <c r="D2105" s="29"/>
    </row>
    <row r="2106" spans="2:4" x14ac:dyDescent="0.25">
      <c r="B2106" s="22"/>
      <c r="C2106" s="22"/>
      <c r="D2106" s="29"/>
    </row>
    <row r="2107" spans="2:4" x14ac:dyDescent="0.25">
      <c r="B2107" s="22"/>
      <c r="C2107" s="22"/>
      <c r="D2107" s="29"/>
    </row>
    <row r="2108" spans="2:4" x14ac:dyDescent="0.25">
      <c r="B2108" s="22"/>
      <c r="C2108" s="22"/>
      <c r="D2108" s="29"/>
    </row>
    <row r="2109" spans="2:4" x14ac:dyDescent="0.25">
      <c r="B2109" s="22"/>
      <c r="C2109" s="22"/>
      <c r="D2109" s="29"/>
    </row>
    <row r="2110" spans="2:4" x14ac:dyDescent="0.25">
      <c r="B2110" s="22"/>
      <c r="C2110" s="22"/>
      <c r="D2110" s="29"/>
    </row>
    <row r="2111" spans="2:4" x14ac:dyDescent="0.25">
      <c r="B2111" s="22"/>
      <c r="C2111" s="22"/>
      <c r="D2111" s="29"/>
    </row>
    <row r="2112" spans="2:4" x14ac:dyDescent="0.25">
      <c r="B2112" s="22"/>
      <c r="C2112" s="22"/>
      <c r="D2112" s="29"/>
    </row>
    <row r="2113" spans="2:4" x14ac:dyDescent="0.25">
      <c r="B2113" s="22"/>
      <c r="C2113" s="22"/>
      <c r="D2113" s="29"/>
    </row>
    <row r="2114" spans="2:4" x14ac:dyDescent="0.25">
      <c r="B2114" s="22"/>
      <c r="C2114" s="22"/>
      <c r="D2114" s="29"/>
    </row>
    <row r="2115" spans="2:4" x14ac:dyDescent="0.25">
      <c r="B2115" s="22"/>
      <c r="C2115" s="22"/>
      <c r="D2115" s="29"/>
    </row>
    <row r="2116" spans="2:4" x14ac:dyDescent="0.25">
      <c r="B2116" s="22"/>
      <c r="C2116" s="22"/>
      <c r="D2116" s="29"/>
    </row>
    <row r="2117" spans="2:4" x14ac:dyDescent="0.25">
      <c r="B2117" s="22"/>
      <c r="C2117" s="22"/>
      <c r="D2117" s="29"/>
    </row>
    <row r="2118" spans="2:4" x14ac:dyDescent="0.25">
      <c r="B2118" s="22"/>
      <c r="C2118" s="22"/>
      <c r="D2118" s="29"/>
    </row>
    <row r="2119" spans="2:4" x14ac:dyDescent="0.25">
      <c r="B2119" s="22"/>
      <c r="C2119" s="22"/>
      <c r="D2119" s="29"/>
    </row>
    <row r="2120" spans="2:4" x14ac:dyDescent="0.25">
      <c r="B2120" s="22"/>
      <c r="C2120" s="22"/>
      <c r="D2120" s="29"/>
    </row>
    <row r="2121" spans="2:4" x14ac:dyDescent="0.25">
      <c r="B2121" s="22"/>
      <c r="C2121" s="22"/>
      <c r="D2121" s="29"/>
    </row>
    <row r="2122" spans="2:4" x14ac:dyDescent="0.25">
      <c r="B2122" s="22"/>
      <c r="C2122" s="22"/>
      <c r="D2122" s="29"/>
    </row>
    <row r="2123" spans="2:4" x14ac:dyDescent="0.25">
      <c r="B2123" s="22"/>
      <c r="C2123" s="22"/>
      <c r="D2123" s="29"/>
    </row>
    <row r="2124" spans="2:4" x14ac:dyDescent="0.25">
      <c r="B2124" s="22"/>
      <c r="C2124" s="22"/>
      <c r="D2124" s="29"/>
    </row>
    <row r="2125" spans="2:4" x14ac:dyDescent="0.25">
      <c r="B2125" s="22"/>
      <c r="C2125" s="22"/>
      <c r="D2125" s="29"/>
    </row>
    <row r="2126" spans="2:4" x14ac:dyDescent="0.25">
      <c r="B2126" s="22"/>
      <c r="C2126" s="22"/>
      <c r="D2126" s="29"/>
    </row>
    <row r="2127" spans="2:4" x14ac:dyDescent="0.25">
      <c r="B2127" s="22"/>
      <c r="C2127" s="22"/>
      <c r="D2127" s="29"/>
    </row>
    <row r="2128" spans="2:4" x14ac:dyDescent="0.25">
      <c r="B2128" s="22"/>
      <c r="C2128" s="22"/>
      <c r="D2128" s="29"/>
    </row>
    <row r="2129" spans="2:4" x14ac:dyDescent="0.25">
      <c r="B2129" s="22"/>
      <c r="C2129" s="22"/>
      <c r="D2129" s="29"/>
    </row>
    <row r="2130" spans="2:4" x14ac:dyDescent="0.25">
      <c r="B2130" s="22"/>
      <c r="C2130" s="22"/>
      <c r="D2130" s="29"/>
    </row>
    <row r="2131" spans="2:4" x14ac:dyDescent="0.25">
      <c r="B2131" s="22"/>
      <c r="C2131" s="22"/>
      <c r="D2131" s="29"/>
    </row>
    <row r="2132" spans="2:4" x14ac:dyDescent="0.25">
      <c r="B2132" s="22"/>
      <c r="C2132" s="22"/>
      <c r="D2132" s="29"/>
    </row>
    <row r="2133" spans="2:4" x14ac:dyDescent="0.25">
      <c r="B2133" s="22"/>
      <c r="C2133" s="22"/>
      <c r="D2133" s="29"/>
    </row>
    <row r="2134" spans="2:4" x14ac:dyDescent="0.25">
      <c r="B2134" s="22"/>
      <c r="C2134" s="22"/>
      <c r="D2134" s="29"/>
    </row>
    <row r="2135" spans="2:4" x14ac:dyDescent="0.25">
      <c r="B2135" s="22"/>
      <c r="C2135" s="22"/>
      <c r="D2135" s="29"/>
    </row>
    <row r="2136" spans="2:4" x14ac:dyDescent="0.25">
      <c r="B2136" s="22"/>
      <c r="C2136" s="22"/>
      <c r="D2136" s="29"/>
    </row>
    <row r="2137" spans="2:4" x14ac:dyDescent="0.25">
      <c r="B2137" s="22"/>
      <c r="C2137" s="22"/>
      <c r="D2137" s="29"/>
    </row>
    <row r="2138" spans="2:4" x14ac:dyDescent="0.25">
      <c r="B2138" s="22"/>
      <c r="C2138" s="22"/>
      <c r="D2138" s="29"/>
    </row>
    <row r="2139" spans="2:4" x14ac:dyDescent="0.25">
      <c r="B2139" s="22"/>
      <c r="C2139" s="22"/>
      <c r="D2139" s="29"/>
    </row>
    <row r="2140" spans="2:4" x14ac:dyDescent="0.25">
      <c r="B2140" s="22"/>
      <c r="C2140" s="22"/>
      <c r="D2140" s="29"/>
    </row>
    <row r="2141" spans="2:4" x14ac:dyDescent="0.25">
      <c r="B2141" s="22"/>
      <c r="C2141" s="22"/>
      <c r="D2141" s="29"/>
    </row>
    <row r="2142" spans="2:4" x14ac:dyDescent="0.25">
      <c r="B2142" s="22"/>
      <c r="C2142" s="22"/>
      <c r="D2142" s="29"/>
    </row>
    <row r="2143" spans="2:4" x14ac:dyDescent="0.25">
      <c r="B2143" s="22"/>
      <c r="C2143" s="22"/>
      <c r="D2143" s="29"/>
    </row>
    <row r="2144" spans="2:4" x14ac:dyDescent="0.25">
      <c r="B2144" s="22"/>
      <c r="C2144" s="22"/>
      <c r="D2144" s="29"/>
    </row>
    <row r="2145" spans="2:4" x14ac:dyDescent="0.25">
      <c r="B2145" s="22"/>
      <c r="C2145" s="22"/>
      <c r="D2145" s="29"/>
    </row>
    <row r="2146" spans="2:4" x14ac:dyDescent="0.25">
      <c r="B2146" s="22"/>
      <c r="C2146" s="22"/>
      <c r="D2146" s="29"/>
    </row>
    <row r="2147" spans="2:4" x14ac:dyDescent="0.25">
      <c r="B2147" s="22"/>
      <c r="C2147" s="22"/>
      <c r="D2147" s="29"/>
    </row>
    <row r="2148" spans="2:4" x14ac:dyDescent="0.25">
      <c r="B2148" s="22"/>
      <c r="C2148" s="22"/>
      <c r="D2148" s="29"/>
    </row>
    <row r="2149" spans="2:4" x14ac:dyDescent="0.25">
      <c r="B2149" s="22"/>
      <c r="C2149" s="22"/>
      <c r="D2149" s="29"/>
    </row>
    <row r="2150" spans="2:4" x14ac:dyDescent="0.25">
      <c r="B2150" s="22"/>
      <c r="C2150" s="22"/>
      <c r="D2150" s="29"/>
    </row>
    <row r="2151" spans="2:4" x14ac:dyDescent="0.25">
      <c r="B2151" s="22"/>
      <c r="C2151" s="22"/>
      <c r="D2151" s="29"/>
    </row>
    <row r="2152" spans="2:4" x14ac:dyDescent="0.25">
      <c r="B2152" s="22"/>
      <c r="C2152" s="22"/>
      <c r="D2152" s="29"/>
    </row>
    <row r="2153" spans="2:4" x14ac:dyDescent="0.25">
      <c r="B2153" s="22"/>
      <c r="C2153" s="22"/>
      <c r="D2153" s="29"/>
    </row>
    <row r="2154" spans="2:4" x14ac:dyDescent="0.25">
      <c r="B2154" s="22"/>
      <c r="C2154" s="22"/>
      <c r="D2154" s="29"/>
    </row>
    <row r="2155" spans="2:4" x14ac:dyDescent="0.25">
      <c r="B2155" s="22"/>
      <c r="C2155" s="22"/>
      <c r="D2155" s="29"/>
    </row>
    <row r="2156" spans="2:4" x14ac:dyDescent="0.25">
      <c r="B2156" s="22"/>
      <c r="C2156" s="22"/>
      <c r="D2156" s="29"/>
    </row>
    <row r="2157" spans="2:4" x14ac:dyDescent="0.25">
      <c r="B2157" s="22"/>
      <c r="C2157" s="22"/>
      <c r="D2157" s="29"/>
    </row>
    <row r="2158" spans="2:4" x14ac:dyDescent="0.25">
      <c r="B2158" s="22"/>
      <c r="C2158" s="22"/>
      <c r="D2158" s="29"/>
    </row>
    <row r="2159" spans="2:4" x14ac:dyDescent="0.25">
      <c r="B2159" s="22"/>
      <c r="C2159" s="22"/>
      <c r="D2159" s="29"/>
    </row>
    <row r="2160" spans="2:4" x14ac:dyDescent="0.25">
      <c r="B2160" s="22"/>
      <c r="C2160" s="22"/>
      <c r="D2160" s="29"/>
    </row>
    <row r="2161" spans="2:4" x14ac:dyDescent="0.25">
      <c r="B2161" s="22"/>
      <c r="C2161" s="22"/>
      <c r="D2161" s="29"/>
    </row>
    <row r="2162" spans="2:4" x14ac:dyDescent="0.25">
      <c r="B2162" s="22"/>
      <c r="C2162" s="22"/>
      <c r="D2162" s="29"/>
    </row>
    <row r="2163" spans="2:4" x14ac:dyDescent="0.25">
      <c r="B2163" s="22"/>
      <c r="C2163" s="22"/>
      <c r="D2163" s="29"/>
    </row>
    <row r="2164" spans="2:4" x14ac:dyDescent="0.25">
      <c r="B2164" s="22"/>
      <c r="C2164" s="22"/>
      <c r="D2164" s="29"/>
    </row>
    <row r="2165" spans="2:4" x14ac:dyDescent="0.25">
      <c r="B2165" s="22"/>
      <c r="C2165" s="22"/>
      <c r="D2165" s="29"/>
    </row>
    <row r="2166" spans="2:4" x14ac:dyDescent="0.25">
      <c r="B2166" s="22"/>
      <c r="C2166" s="22"/>
      <c r="D2166" s="29"/>
    </row>
    <row r="2167" spans="2:4" x14ac:dyDescent="0.25">
      <c r="B2167" s="22"/>
      <c r="C2167" s="22"/>
      <c r="D2167" s="29"/>
    </row>
    <row r="2168" spans="2:4" x14ac:dyDescent="0.25">
      <c r="B2168" s="22"/>
      <c r="C2168" s="22"/>
      <c r="D2168" s="29"/>
    </row>
    <row r="2169" spans="2:4" x14ac:dyDescent="0.25">
      <c r="B2169" s="22"/>
      <c r="C2169" s="22"/>
      <c r="D2169" s="29"/>
    </row>
    <row r="2170" spans="2:4" x14ac:dyDescent="0.25">
      <c r="B2170" s="22"/>
      <c r="C2170" s="22"/>
      <c r="D2170" s="29"/>
    </row>
    <row r="2171" spans="2:4" x14ac:dyDescent="0.25">
      <c r="B2171" s="22"/>
      <c r="C2171" s="22"/>
      <c r="D2171" s="29"/>
    </row>
    <row r="2172" spans="2:4" x14ac:dyDescent="0.25">
      <c r="B2172" s="22"/>
      <c r="C2172" s="22"/>
      <c r="D2172" s="29"/>
    </row>
    <row r="2173" spans="2:4" x14ac:dyDescent="0.25">
      <c r="B2173" s="22"/>
      <c r="C2173" s="22"/>
      <c r="D2173" s="29"/>
    </row>
    <row r="2174" spans="2:4" x14ac:dyDescent="0.25">
      <c r="B2174" s="22"/>
      <c r="C2174" s="22"/>
      <c r="D2174" s="29"/>
    </row>
    <row r="2175" spans="2:4" x14ac:dyDescent="0.25">
      <c r="B2175" s="22"/>
      <c r="C2175" s="22"/>
      <c r="D2175" s="29"/>
    </row>
    <row r="2176" spans="2:4" x14ac:dyDescent="0.25">
      <c r="B2176" s="22"/>
      <c r="C2176" s="22"/>
      <c r="D2176" s="29"/>
    </row>
    <row r="2177" spans="2:4" x14ac:dyDescent="0.25">
      <c r="B2177" s="22"/>
      <c r="C2177" s="22"/>
      <c r="D2177" s="29"/>
    </row>
    <row r="2178" spans="2:4" x14ac:dyDescent="0.25">
      <c r="B2178" s="22"/>
      <c r="C2178" s="22"/>
      <c r="D2178" s="29"/>
    </row>
    <row r="2179" spans="2:4" x14ac:dyDescent="0.25">
      <c r="B2179" s="22"/>
      <c r="C2179" s="22"/>
      <c r="D2179" s="29"/>
    </row>
    <row r="2180" spans="2:4" x14ac:dyDescent="0.25">
      <c r="B2180" s="22"/>
      <c r="C2180" s="22"/>
      <c r="D2180" s="29"/>
    </row>
    <row r="2181" spans="2:4" x14ac:dyDescent="0.25">
      <c r="B2181" s="22"/>
      <c r="C2181" s="22"/>
      <c r="D2181" s="29"/>
    </row>
    <row r="2182" spans="2:4" x14ac:dyDescent="0.25">
      <c r="B2182" s="22"/>
      <c r="C2182" s="22"/>
      <c r="D2182" s="29"/>
    </row>
    <row r="2183" spans="2:4" x14ac:dyDescent="0.25">
      <c r="B2183" s="22"/>
      <c r="C2183" s="22"/>
      <c r="D2183" s="29"/>
    </row>
    <row r="2184" spans="2:4" x14ac:dyDescent="0.25">
      <c r="B2184" s="22"/>
      <c r="C2184" s="22"/>
      <c r="D2184" s="29"/>
    </row>
    <row r="2185" spans="2:4" x14ac:dyDescent="0.25">
      <c r="B2185" s="22"/>
      <c r="C2185" s="22"/>
      <c r="D2185" s="29"/>
    </row>
    <row r="2186" spans="2:4" x14ac:dyDescent="0.25">
      <c r="B2186" s="22"/>
      <c r="C2186" s="22"/>
      <c r="D2186" s="29"/>
    </row>
    <row r="2187" spans="2:4" x14ac:dyDescent="0.25">
      <c r="B2187" s="22"/>
      <c r="C2187" s="22"/>
      <c r="D2187" s="29"/>
    </row>
    <row r="2188" spans="2:4" x14ac:dyDescent="0.25">
      <c r="B2188" s="22"/>
      <c r="C2188" s="22"/>
      <c r="D2188" s="29"/>
    </row>
    <row r="2189" spans="2:4" x14ac:dyDescent="0.25">
      <c r="B2189" s="22"/>
      <c r="C2189" s="22"/>
      <c r="D2189" s="29"/>
    </row>
    <row r="2190" spans="2:4" x14ac:dyDescent="0.25">
      <c r="B2190" s="22"/>
      <c r="C2190" s="22"/>
      <c r="D2190" s="29"/>
    </row>
    <row r="2191" spans="2:4" x14ac:dyDescent="0.25">
      <c r="B2191" s="22"/>
      <c r="C2191" s="22"/>
      <c r="D2191" s="29"/>
    </row>
    <row r="2192" spans="2:4" x14ac:dyDescent="0.25">
      <c r="B2192" s="22"/>
      <c r="C2192" s="22"/>
      <c r="D2192" s="29"/>
    </row>
    <row r="2193" spans="2:4" x14ac:dyDescent="0.25">
      <c r="B2193" s="22"/>
      <c r="C2193" s="22"/>
      <c r="D2193" s="29"/>
    </row>
    <row r="2194" spans="2:4" x14ac:dyDescent="0.25">
      <c r="B2194" s="22"/>
      <c r="C2194" s="22"/>
      <c r="D2194" s="29"/>
    </row>
    <row r="2195" spans="2:4" x14ac:dyDescent="0.25">
      <c r="B2195" s="22"/>
      <c r="C2195" s="22"/>
      <c r="D2195" s="29"/>
    </row>
    <row r="2196" spans="2:4" x14ac:dyDescent="0.25">
      <c r="B2196" s="22"/>
      <c r="C2196" s="22"/>
      <c r="D2196" s="29"/>
    </row>
    <row r="2197" spans="2:4" x14ac:dyDescent="0.25">
      <c r="B2197" s="22"/>
      <c r="C2197" s="22"/>
      <c r="D2197" s="29"/>
    </row>
    <row r="2198" spans="2:4" x14ac:dyDescent="0.25">
      <c r="B2198" s="22"/>
      <c r="C2198" s="22"/>
      <c r="D2198" s="29"/>
    </row>
    <row r="2199" spans="2:4" x14ac:dyDescent="0.25">
      <c r="B2199" s="22"/>
      <c r="C2199" s="22"/>
      <c r="D2199" s="29"/>
    </row>
    <row r="2200" spans="2:4" x14ac:dyDescent="0.25">
      <c r="B2200" s="22"/>
      <c r="C2200" s="22"/>
      <c r="D2200" s="29"/>
    </row>
    <row r="2201" spans="2:4" x14ac:dyDescent="0.25">
      <c r="B2201" s="22"/>
      <c r="C2201" s="22"/>
      <c r="D2201" s="29"/>
    </row>
    <row r="2202" spans="2:4" x14ac:dyDescent="0.25">
      <c r="B2202" s="22"/>
      <c r="C2202" s="22"/>
      <c r="D2202" s="29"/>
    </row>
    <row r="2203" spans="2:4" x14ac:dyDescent="0.25">
      <c r="B2203" s="22"/>
      <c r="C2203" s="22"/>
      <c r="D2203" s="29"/>
    </row>
    <row r="2204" spans="2:4" x14ac:dyDescent="0.25">
      <c r="B2204" s="22"/>
      <c r="C2204" s="22"/>
      <c r="D2204" s="29"/>
    </row>
    <row r="2205" spans="2:4" x14ac:dyDescent="0.25">
      <c r="B2205" s="22"/>
      <c r="C2205" s="22"/>
      <c r="D2205" s="29"/>
    </row>
    <row r="2206" spans="2:4" x14ac:dyDescent="0.25">
      <c r="B2206" s="22"/>
      <c r="C2206" s="22"/>
      <c r="D2206" s="29"/>
    </row>
    <row r="2207" spans="2:4" x14ac:dyDescent="0.25">
      <c r="B2207" s="22"/>
      <c r="C2207" s="22"/>
      <c r="D2207" s="29"/>
    </row>
    <row r="2208" spans="2:4" x14ac:dyDescent="0.25">
      <c r="B2208" s="22"/>
      <c r="C2208" s="22"/>
      <c r="D2208" s="29"/>
    </row>
    <row r="2209" spans="2:4" x14ac:dyDescent="0.25">
      <c r="B2209" s="22"/>
      <c r="C2209" s="22"/>
      <c r="D2209" s="29"/>
    </row>
    <row r="2210" spans="2:4" x14ac:dyDescent="0.25">
      <c r="B2210" s="22"/>
      <c r="C2210" s="22"/>
      <c r="D2210" s="29"/>
    </row>
    <row r="2211" spans="2:4" x14ac:dyDescent="0.25">
      <c r="B2211" s="22"/>
      <c r="C2211" s="22"/>
      <c r="D2211" s="29"/>
    </row>
    <row r="2212" spans="2:4" x14ac:dyDescent="0.25">
      <c r="B2212" s="22"/>
      <c r="C2212" s="22"/>
      <c r="D2212" s="29"/>
    </row>
    <row r="2213" spans="2:4" x14ac:dyDescent="0.25">
      <c r="B2213" s="22"/>
      <c r="C2213" s="22"/>
      <c r="D2213" s="29"/>
    </row>
    <row r="2214" spans="2:4" x14ac:dyDescent="0.25">
      <c r="B2214" s="22"/>
      <c r="C2214" s="22"/>
      <c r="D2214" s="29"/>
    </row>
    <row r="2215" spans="2:4" x14ac:dyDescent="0.25">
      <c r="B2215" s="22"/>
      <c r="C2215" s="22"/>
      <c r="D2215" s="29"/>
    </row>
    <row r="2216" spans="2:4" x14ac:dyDescent="0.25">
      <c r="B2216" s="22"/>
      <c r="C2216" s="22"/>
      <c r="D2216" s="29"/>
    </row>
    <row r="2217" spans="2:4" x14ac:dyDescent="0.25">
      <c r="B2217" s="22"/>
      <c r="C2217" s="22"/>
      <c r="D2217" s="29"/>
    </row>
    <row r="2218" spans="2:4" x14ac:dyDescent="0.25">
      <c r="B2218" s="22"/>
      <c r="C2218" s="22"/>
      <c r="D2218" s="29"/>
    </row>
    <row r="2219" spans="2:4" x14ac:dyDescent="0.25">
      <c r="B2219" s="22"/>
      <c r="C2219" s="22"/>
      <c r="D2219" s="29"/>
    </row>
    <row r="2220" spans="2:4" x14ac:dyDescent="0.25">
      <c r="B2220" s="22"/>
      <c r="C2220" s="22"/>
      <c r="D2220" s="29"/>
    </row>
    <row r="2221" spans="2:4" x14ac:dyDescent="0.25">
      <c r="B2221" s="22"/>
      <c r="C2221" s="22"/>
      <c r="D2221" s="29"/>
    </row>
    <row r="2222" spans="2:4" x14ac:dyDescent="0.25">
      <c r="B2222" s="22"/>
      <c r="C2222" s="22"/>
      <c r="D2222" s="29"/>
    </row>
    <row r="2223" spans="2:4" x14ac:dyDescent="0.25">
      <c r="B2223" s="22"/>
      <c r="C2223" s="22"/>
      <c r="D2223" s="29"/>
    </row>
    <row r="2224" spans="2:4" x14ac:dyDescent="0.25">
      <c r="B2224" s="22"/>
      <c r="C2224" s="22"/>
      <c r="D2224" s="29"/>
    </row>
    <row r="2225" spans="2:4" x14ac:dyDescent="0.25">
      <c r="B2225" s="22"/>
      <c r="C2225" s="22"/>
      <c r="D2225" s="29"/>
    </row>
    <row r="2226" spans="2:4" x14ac:dyDescent="0.25">
      <c r="B2226" s="22"/>
      <c r="C2226" s="22"/>
      <c r="D2226" s="29"/>
    </row>
    <row r="2227" spans="2:4" x14ac:dyDescent="0.25">
      <c r="B2227" s="22"/>
      <c r="C2227" s="22"/>
      <c r="D2227" s="29"/>
    </row>
    <row r="2228" spans="2:4" x14ac:dyDescent="0.25">
      <c r="B2228" s="22"/>
      <c r="C2228" s="22"/>
      <c r="D2228" s="29"/>
    </row>
    <row r="2229" spans="2:4" x14ac:dyDescent="0.25">
      <c r="B2229" s="22"/>
      <c r="C2229" s="22"/>
      <c r="D2229" s="29"/>
    </row>
    <row r="2230" spans="2:4" x14ac:dyDescent="0.25">
      <c r="B2230" s="22"/>
      <c r="C2230" s="22"/>
      <c r="D2230" s="29"/>
    </row>
    <row r="2231" spans="2:4" x14ac:dyDescent="0.25">
      <c r="B2231" s="22"/>
      <c r="C2231" s="22"/>
      <c r="D2231" s="29"/>
    </row>
    <row r="2232" spans="2:4" x14ac:dyDescent="0.25">
      <c r="B2232" s="22"/>
      <c r="C2232" s="22"/>
      <c r="D2232" s="29"/>
    </row>
    <row r="2233" spans="2:4" x14ac:dyDescent="0.25">
      <c r="B2233" s="22"/>
      <c r="C2233" s="22"/>
      <c r="D2233" s="29"/>
    </row>
    <row r="2234" spans="2:4" x14ac:dyDescent="0.25">
      <c r="B2234" s="22"/>
      <c r="C2234" s="22"/>
      <c r="D2234" s="29"/>
    </row>
    <row r="2235" spans="2:4" x14ac:dyDescent="0.25">
      <c r="B2235" s="22"/>
      <c r="C2235" s="22"/>
      <c r="D2235" s="29"/>
    </row>
    <row r="2236" spans="2:4" x14ac:dyDescent="0.25">
      <c r="B2236" s="22"/>
      <c r="C2236" s="22"/>
      <c r="D2236" s="29"/>
    </row>
    <row r="2237" spans="2:4" x14ac:dyDescent="0.25">
      <c r="B2237" s="22"/>
      <c r="C2237" s="22"/>
      <c r="D2237" s="29"/>
    </row>
    <row r="2238" spans="2:4" x14ac:dyDescent="0.25">
      <c r="B2238" s="22"/>
      <c r="C2238" s="22"/>
      <c r="D2238" s="29"/>
    </row>
    <row r="2239" spans="2:4" x14ac:dyDescent="0.25">
      <c r="B2239" s="22"/>
      <c r="C2239" s="22"/>
      <c r="D2239" s="29"/>
    </row>
    <row r="2240" spans="2:4" x14ac:dyDescent="0.25">
      <c r="B2240" s="22"/>
      <c r="C2240" s="22"/>
      <c r="D2240" s="29"/>
    </row>
    <row r="2241" spans="2:4" x14ac:dyDescent="0.25">
      <c r="B2241" s="22"/>
      <c r="C2241" s="22"/>
      <c r="D2241" s="29"/>
    </row>
    <row r="2242" spans="2:4" x14ac:dyDescent="0.25">
      <c r="B2242" s="22"/>
      <c r="C2242" s="22"/>
      <c r="D2242" s="29"/>
    </row>
    <row r="2243" spans="2:4" x14ac:dyDescent="0.25">
      <c r="B2243" s="22"/>
      <c r="C2243" s="22"/>
      <c r="D2243" s="29"/>
    </row>
    <row r="2244" spans="2:4" x14ac:dyDescent="0.25">
      <c r="B2244" s="22"/>
      <c r="C2244" s="22"/>
      <c r="D2244" s="29"/>
    </row>
    <row r="2245" spans="2:4" x14ac:dyDescent="0.25">
      <c r="B2245" s="22"/>
      <c r="C2245" s="22"/>
      <c r="D2245" s="29"/>
    </row>
    <row r="2246" spans="2:4" x14ac:dyDescent="0.25">
      <c r="B2246" s="22"/>
      <c r="C2246" s="22"/>
      <c r="D2246" s="29"/>
    </row>
    <row r="2247" spans="2:4" x14ac:dyDescent="0.25">
      <c r="B2247" s="22"/>
      <c r="C2247" s="22"/>
      <c r="D2247" s="29"/>
    </row>
    <row r="2248" spans="2:4" x14ac:dyDescent="0.25">
      <c r="B2248" s="22"/>
      <c r="C2248" s="22"/>
      <c r="D2248" s="29"/>
    </row>
    <row r="2249" spans="2:4" x14ac:dyDescent="0.25">
      <c r="B2249" s="22"/>
      <c r="C2249" s="22"/>
      <c r="D2249" s="29"/>
    </row>
    <row r="2250" spans="2:4" x14ac:dyDescent="0.25">
      <c r="B2250" s="22"/>
      <c r="C2250" s="22"/>
      <c r="D2250" s="29"/>
    </row>
    <row r="2251" spans="2:4" x14ac:dyDescent="0.25">
      <c r="B2251" s="22"/>
      <c r="C2251" s="22"/>
      <c r="D2251" s="29"/>
    </row>
    <row r="2252" spans="2:4" x14ac:dyDescent="0.25">
      <c r="B2252" s="22"/>
      <c r="C2252" s="22"/>
      <c r="D2252" s="29"/>
    </row>
    <row r="2253" spans="2:4" x14ac:dyDescent="0.25">
      <c r="B2253" s="22"/>
      <c r="C2253" s="22"/>
      <c r="D2253" s="29"/>
    </row>
    <row r="2254" spans="2:4" x14ac:dyDescent="0.25">
      <c r="B2254" s="22"/>
      <c r="C2254" s="22"/>
      <c r="D2254" s="29"/>
    </row>
    <row r="2255" spans="2:4" x14ac:dyDescent="0.25">
      <c r="B2255" s="22"/>
      <c r="C2255" s="22"/>
      <c r="D2255" s="29"/>
    </row>
    <row r="2256" spans="2:4" x14ac:dyDescent="0.25">
      <c r="B2256" s="22"/>
      <c r="C2256" s="22"/>
      <c r="D2256" s="29"/>
    </row>
    <row r="2257" spans="2:4" x14ac:dyDescent="0.25">
      <c r="B2257" s="22"/>
      <c r="C2257" s="22"/>
      <c r="D2257" s="29"/>
    </row>
    <row r="2258" spans="2:4" x14ac:dyDescent="0.25">
      <c r="B2258" s="22"/>
      <c r="C2258" s="22"/>
      <c r="D2258" s="29"/>
    </row>
    <row r="2259" spans="2:4" x14ac:dyDescent="0.25">
      <c r="B2259" s="22"/>
      <c r="C2259" s="22"/>
      <c r="D2259" s="29"/>
    </row>
    <row r="2260" spans="2:4" x14ac:dyDescent="0.25">
      <c r="B2260" s="22"/>
      <c r="C2260" s="22"/>
      <c r="D2260" s="29"/>
    </row>
    <row r="2261" spans="2:4" x14ac:dyDescent="0.25">
      <c r="B2261" s="22"/>
      <c r="C2261" s="22"/>
      <c r="D2261" s="29"/>
    </row>
    <row r="2262" spans="2:4" x14ac:dyDescent="0.25">
      <c r="B2262" s="22"/>
      <c r="C2262" s="22"/>
      <c r="D2262" s="29"/>
    </row>
    <row r="2263" spans="2:4" x14ac:dyDescent="0.25">
      <c r="B2263" s="22"/>
      <c r="C2263" s="22"/>
      <c r="D2263" s="29"/>
    </row>
    <row r="2264" spans="2:4" x14ac:dyDescent="0.25">
      <c r="B2264" s="22"/>
      <c r="C2264" s="22"/>
      <c r="D2264" s="29"/>
    </row>
    <row r="2265" spans="2:4" x14ac:dyDescent="0.25">
      <c r="B2265" s="22"/>
      <c r="C2265" s="22"/>
      <c r="D2265" s="29"/>
    </row>
    <row r="2266" spans="2:4" x14ac:dyDescent="0.25">
      <c r="B2266" s="22"/>
      <c r="C2266" s="22"/>
      <c r="D2266" s="29"/>
    </row>
    <row r="2267" spans="2:4" x14ac:dyDescent="0.25">
      <c r="B2267" s="22"/>
      <c r="C2267" s="22"/>
      <c r="D2267" s="29"/>
    </row>
    <row r="2268" spans="2:4" x14ac:dyDescent="0.25">
      <c r="B2268" s="22"/>
      <c r="C2268" s="22"/>
      <c r="D2268" s="29"/>
    </row>
    <row r="2269" spans="2:4" x14ac:dyDescent="0.25">
      <c r="B2269" s="22"/>
      <c r="C2269" s="22"/>
      <c r="D2269" s="29"/>
    </row>
    <row r="2270" spans="2:4" x14ac:dyDescent="0.25">
      <c r="B2270" s="22"/>
      <c r="C2270" s="22"/>
      <c r="D2270" s="29"/>
    </row>
    <row r="2271" spans="2:4" x14ac:dyDescent="0.25">
      <c r="B2271" s="22"/>
      <c r="C2271" s="22"/>
      <c r="D2271" s="29"/>
    </row>
    <row r="2272" spans="2:4" x14ac:dyDescent="0.25">
      <c r="B2272" s="22"/>
      <c r="C2272" s="22"/>
      <c r="D2272" s="29"/>
    </row>
    <row r="2273" spans="2:4" x14ac:dyDescent="0.25">
      <c r="B2273" s="22"/>
      <c r="C2273" s="22"/>
      <c r="D2273" s="29"/>
    </row>
    <row r="2274" spans="2:4" x14ac:dyDescent="0.25">
      <c r="B2274" s="22"/>
      <c r="C2274" s="22"/>
      <c r="D2274" s="29"/>
    </row>
    <row r="2275" spans="2:4" x14ac:dyDescent="0.25">
      <c r="B2275" s="22"/>
      <c r="C2275" s="22"/>
      <c r="D2275" s="29"/>
    </row>
    <row r="2276" spans="2:4" x14ac:dyDescent="0.25">
      <c r="B2276" s="22"/>
      <c r="C2276" s="22"/>
      <c r="D2276" s="29"/>
    </row>
    <row r="2277" spans="2:4" x14ac:dyDescent="0.25">
      <c r="B2277" s="22"/>
      <c r="C2277" s="22"/>
      <c r="D2277" s="29"/>
    </row>
    <row r="2278" spans="2:4" x14ac:dyDescent="0.25">
      <c r="B2278" s="22"/>
      <c r="C2278" s="22"/>
      <c r="D2278" s="29"/>
    </row>
    <row r="2279" spans="2:4" x14ac:dyDescent="0.25">
      <c r="B2279" s="22"/>
      <c r="C2279" s="22"/>
      <c r="D2279" s="29"/>
    </row>
    <row r="2280" spans="2:4" x14ac:dyDescent="0.25">
      <c r="B2280" s="22"/>
      <c r="C2280" s="22"/>
      <c r="D2280" s="29"/>
    </row>
    <row r="2281" spans="2:4" x14ac:dyDescent="0.25">
      <c r="B2281" s="22"/>
      <c r="C2281" s="22"/>
      <c r="D2281" s="29"/>
    </row>
    <row r="2282" spans="2:4" x14ac:dyDescent="0.25">
      <c r="B2282" s="22"/>
      <c r="C2282" s="22"/>
      <c r="D2282" s="29"/>
    </row>
    <row r="2283" spans="2:4" x14ac:dyDescent="0.25">
      <c r="B2283" s="22"/>
      <c r="C2283" s="22"/>
      <c r="D2283" s="29"/>
    </row>
    <row r="2284" spans="2:4" x14ac:dyDescent="0.25">
      <c r="B2284" s="22"/>
      <c r="C2284" s="22"/>
      <c r="D2284" s="29"/>
    </row>
    <row r="2285" spans="2:4" x14ac:dyDescent="0.25">
      <c r="B2285" s="22"/>
      <c r="C2285" s="22"/>
      <c r="D2285" s="29"/>
    </row>
    <row r="2286" spans="2:4" x14ac:dyDescent="0.25">
      <c r="B2286" s="22"/>
      <c r="C2286" s="22"/>
      <c r="D2286" s="29"/>
    </row>
    <row r="2287" spans="2:4" x14ac:dyDescent="0.25">
      <c r="B2287" s="22"/>
      <c r="C2287" s="22"/>
      <c r="D2287" s="29"/>
    </row>
    <row r="2288" spans="2:4" x14ac:dyDescent="0.25">
      <c r="B2288" s="22"/>
      <c r="C2288" s="22"/>
      <c r="D2288" s="29"/>
    </row>
    <row r="2289" spans="2:4" x14ac:dyDescent="0.25">
      <c r="B2289" s="22"/>
      <c r="C2289" s="22"/>
      <c r="D2289" s="29"/>
    </row>
    <row r="2290" spans="2:4" x14ac:dyDescent="0.25">
      <c r="B2290" s="22"/>
      <c r="C2290" s="22"/>
      <c r="D2290" s="29"/>
    </row>
    <row r="2291" spans="2:4" x14ac:dyDescent="0.25">
      <c r="B2291" s="22"/>
      <c r="C2291" s="22"/>
      <c r="D2291" s="29"/>
    </row>
    <row r="2292" spans="2:4" x14ac:dyDescent="0.25">
      <c r="B2292" s="22"/>
      <c r="C2292" s="22"/>
      <c r="D2292" s="29"/>
    </row>
    <row r="2293" spans="2:4" x14ac:dyDescent="0.25">
      <c r="B2293" s="22"/>
      <c r="C2293" s="22"/>
      <c r="D2293" s="29"/>
    </row>
    <row r="2294" spans="2:4" x14ac:dyDescent="0.25">
      <c r="B2294" s="22"/>
      <c r="C2294" s="22"/>
      <c r="D2294" s="29"/>
    </row>
    <row r="2295" spans="2:4" x14ac:dyDescent="0.25">
      <c r="B2295" s="22"/>
      <c r="C2295" s="22"/>
      <c r="D2295" s="29"/>
    </row>
    <row r="2296" spans="2:4" x14ac:dyDescent="0.25">
      <c r="B2296" s="22"/>
      <c r="C2296" s="22"/>
      <c r="D2296" s="29"/>
    </row>
    <row r="2297" spans="2:4" x14ac:dyDescent="0.25">
      <c r="B2297" s="22"/>
      <c r="C2297" s="22"/>
      <c r="D2297" s="29"/>
    </row>
    <row r="2298" spans="2:4" x14ac:dyDescent="0.25">
      <c r="B2298" s="22"/>
      <c r="C2298" s="22"/>
      <c r="D2298" s="29"/>
    </row>
    <row r="2299" spans="2:4" x14ac:dyDescent="0.25">
      <c r="B2299" s="22"/>
      <c r="C2299" s="22"/>
      <c r="D2299" s="29"/>
    </row>
    <row r="2300" spans="2:4" x14ac:dyDescent="0.25">
      <c r="B2300" s="22"/>
      <c r="C2300" s="22"/>
      <c r="D2300" s="29"/>
    </row>
    <row r="2301" spans="2:4" x14ac:dyDescent="0.25">
      <c r="B2301" s="22"/>
      <c r="C2301" s="22"/>
      <c r="D2301" s="29"/>
    </row>
    <row r="2302" spans="2:4" x14ac:dyDescent="0.25">
      <c r="B2302" s="22"/>
      <c r="C2302" s="22"/>
      <c r="D2302" s="29"/>
    </row>
    <row r="2303" spans="2:4" x14ac:dyDescent="0.25">
      <c r="B2303" s="22"/>
      <c r="C2303" s="22"/>
      <c r="D2303" s="29"/>
    </row>
    <row r="2304" spans="2:4" x14ac:dyDescent="0.25">
      <c r="B2304" s="22"/>
      <c r="C2304" s="22"/>
      <c r="D2304" s="29"/>
    </row>
    <row r="2305" spans="2:4" x14ac:dyDescent="0.25">
      <c r="B2305" s="22"/>
      <c r="C2305" s="22"/>
      <c r="D2305" s="29"/>
    </row>
    <row r="2306" spans="2:4" x14ac:dyDescent="0.25">
      <c r="B2306" s="22"/>
      <c r="C2306" s="22"/>
      <c r="D2306" s="29"/>
    </row>
    <row r="2307" spans="2:4" x14ac:dyDescent="0.25">
      <c r="B2307" s="22"/>
      <c r="C2307" s="22"/>
      <c r="D2307" s="29"/>
    </row>
    <row r="2308" spans="2:4" x14ac:dyDescent="0.25">
      <c r="B2308" s="22"/>
      <c r="C2308" s="22"/>
      <c r="D2308" s="29"/>
    </row>
    <row r="2309" spans="2:4" x14ac:dyDescent="0.25">
      <c r="B2309" s="22"/>
      <c r="C2309" s="22"/>
      <c r="D2309" s="29"/>
    </row>
    <row r="2310" spans="2:4" x14ac:dyDescent="0.25">
      <c r="B2310" s="22"/>
      <c r="C2310" s="22"/>
      <c r="D2310" s="29"/>
    </row>
    <row r="2311" spans="2:4" x14ac:dyDescent="0.25">
      <c r="B2311" s="22"/>
      <c r="C2311" s="22"/>
      <c r="D2311" s="29"/>
    </row>
    <row r="2312" spans="2:4" x14ac:dyDescent="0.25">
      <c r="B2312" s="22"/>
      <c r="C2312" s="22"/>
      <c r="D2312" s="29"/>
    </row>
    <row r="2313" spans="2:4" x14ac:dyDescent="0.25">
      <c r="B2313" s="22"/>
      <c r="C2313" s="22"/>
      <c r="D2313" s="29"/>
    </row>
    <row r="2314" spans="2:4" x14ac:dyDescent="0.25">
      <c r="B2314" s="22"/>
      <c r="C2314" s="22"/>
      <c r="D2314" s="29"/>
    </row>
    <row r="2315" spans="2:4" x14ac:dyDescent="0.25">
      <c r="B2315" s="22"/>
      <c r="C2315" s="22"/>
      <c r="D2315" s="29"/>
    </row>
    <row r="2316" spans="2:4" x14ac:dyDescent="0.25">
      <c r="B2316" s="22"/>
      <c r="C2316" s="22"/>
      <c r="D2316" s="29"/>
    </row>
    <row r="2317" spans="2:4" x14ac:dyDescent="0.25">
      <c r="B2317" s="22"/>
      <c r="C2317" s="22"/>
      <c r="D2317" s="29"/>
    </row>
    <row r="2318" spans="2:4" x14ac:dyDescent="0.25">
      <c r="B2318" s="22"/>
      <c r="C2318" s="22"/>
      <c r="D2318" s="29"/>
    </row>
    <row r="2319" spans="2:4" x14ac:dyDescent="0.25">
      <c r="B2319" s="22"/>
      <c r="C2319" s="22"/>
      <c r="D2319" s="29"/>
    </row>
    <row r="2320" spans="2:4" x14ac:dyDescent="0.25">
      <c r="B2320" s="22"/>
      <c r="C2320" s="22"/>
      <c r="D2320" s="29"/>
    </row>
    <row r="2321" spans="2:4" x14ac:dyDescent="0.25">
      <c r="B2321" s="22"/>
      <c r="C2321" s="22"/>
      <c r="D2321" s="29"/>
    </row>
    <row r="2322" spans="2:4" x14ac:dyDescent="0.25">
      <c r="B2322" s="22"/>
      <c r="C2322" s="22"/>
      <c r="D2322" s="29"/>
    </row>
    <row r="2323" spans="2:4" x14ac:dyDescent="0.25">
      <c r="B2323" s="22"/>
      <c r="C2323" s="22"/>
      <c r="D2323" s="29"/>
    </row>
    <row r="2324" spans="2:4" x14ac:dyDescent="0.25">
      <c r="B2324" s="22"/>
      <c r="C2324" s="22"/>
      <c r="D2324" s="29"/>
    </row>
    <row r="2325" spans="2:4" x14ac:dyDescent="0.25">
      <c r="B2325" s="22"/>
      <c r="C2325" s="22"/>
      <c r="D2325" s="29"/>
    </row>
    <row r="2326" spans="2:4" x14ac:dyDescent="0.25">
      <c r="B2326" s="22"/>
      <c r="C2326" s="22"/>
      <c r="D2326" s="29"/>
    </row>
    <row r="2327" spans="2:4" x14ac:dyDescent="0.25">
      <c r="B2327" s="22"/>
      <c r="C2327" s="22"/>
      <c r="D2327" s="29"/>
    </row>
    <row r="2328" spans="2:4" x14ac:dyDescent="0.25">
      <c r="B2328" s="22"/>
      <c r="C2328" s="22"/>
      <c r="D2328" s="29"/>
    </row>
    <row r="2329" spans="2:4" x14ac:dyDescent="0.25">
      <c r="B2329" s="22"/>
      <c r="C2329" s="22"/>
      <c r="D2329" s="29"/>
    </row>
    <row r="2330" spans="2:4" x14ac:dyDescent="0.25">
      <c r="B2330" s="22"/>
      <c r="C2330" s="22"/>
      <c r="D2330" s="29"/>
    </row>
    <row r="2331" spans="2:4" x14ac:dyDescent="0.25">
      <c r="B2331" s="22"/>
      <c r="C2331" s="22"/>
      <c r="D2331" s="29"/>
    </row>
    <row r="2332" spans="2:4" x14ac:dyDescent="0.25">
      <c r="B2332" s="22"/>
      <c r="C2332" s="22"/>
      <c r="D2332" s="29"/>
    </row>
    <row r="2333" spans="2:4" x14ac:dyDescent="0.25">
      <c r="B2333" s="22"/>
      <c r="C2333" s="22"/>
      <c r="D2333" s="29"/>
    </row>
    <row r="2334" spans="2:4" x14ac:dyDescent="0.25">
      <c r="B2334" s="22"/>
      <c r="C2334" s="22"/>
      <c r="D2334" s="29"/>
    </row>
    <row r="2335" spans="2:4" x14ac:dyDescent="0.25">
      <c r="B2335" s="22"/>
      <c r="C2335" s="22"/>
      <c r="D2335" s="29"/>
    </row>
    <row r="2336" spans="2:4" x14ac:dyDescent="0.25">
      <c r="B2336" s="22"/>
      <c r="C2336" s="22"/>
      <c r="D2336" s="29"/>
    </row>
    <row r="2337" spans="2:4" x14ac:dyDescent="0.25">
      <c r="B2337" s="22"/>
      <c r="C2337" s="22"/>
      <c r="D2337" s="29"/>
    </row>
    <row r="2338" spans="2:4" x14ac:dyDescent="0.25">
      <c r="B2338" s="22"/>
      <c r="C2338" s="22"/>
      <c r="D2338" s="29"/>
    </row>
    <row r="2339" spans="2:4" x14ac:dyDescent="0.25">
      <c r="B2339" s="22"/>
      <c r="C2339" s="22"/>
      <c r="D2339" s="29"/>
    </row>
    <row r="2340" spans="2:4" x14ac:dyDescent="0.25">
      <c r="B2340" s="22"/>
      <c r="C2340" s="22"/>
      <c r="D2340" s="29"/>
    </row>
    <row r="2341" spans="2:4" x14ac:dyDescent="0.25">
      <c r="B2341" s="22"/>
      <c r="C2341" s="22"/>
      <c r="D2341" s="29"/>
    </row>
    <row r="2342" spans="2:4" x14ac:dyDescent="0.25">
      <c r="B2342" s="22"/>
      <c r="C2342" s="22"/>
      <c r="D2342" s="29"/>
    </row>
    <row r="2343" spans="2:4" x14ac:dyDescent="0.25">
      <c r="B2343" s="22"/>
      <c r="C2343" s="22"/>
      <c r="D2343" s="29"/>
    </row>
    <row r="2344" spans="2:4" x14ac:dyDescent="0.25">
      <c r="B2344" s="22"/>
      <c r="C2344" s="22"/>
      <c r="D2344" s="29"/>
    </row>
    <row r="2345" spans="2:4" x14ac:dyDescent="0.25">
      <c r="B2345" s="22"/>
      <c r="C2345" s="22"/>
      <c r="D2345" s="29"/>
    </row>
    <row r="2346" spans="2:4" x14ac:dyDescent="0.25">
      <c r="B2346" s="22"/>
      <c r="C2346" s="22"/>
      <c r="D2346" s="29"/>
    </row>
    <row r="2347" spans="2:4" x14ac:dyDescent="0.25">
      <c r="B2347" s="22"/>
      <c r="C2347" s="22"/>
      <c r="D2347" s="29"/>
    </row>
    <row r="2348" spans="2:4" x14ac:dyDescent="0.25">
      <c r="B2348" s="22"/>
      <c r="C2348" s="22"/>
      <c r="D2348" s="29"/>
    </row>
    <row r="2349" spans="2:4" x14ac:dyDescent="0.25">
      <c r="B2349" s="22"/>
      <c r="C2349" s="22"/>
      <c r="D2349" s="29"/>
    </row>
    <row r="2350" spans="2:4" x14ac:dyDescent="0.25">
      <c r="B2350" s="22"/>
      <c r="C2350" s="22"/>
      <c r="D2350" s="29"/>
    </row>
    <row r="2351" spans="2:4" x14ac:dyDescent="0.25">
      <c r="B2351" s="22"/>
      <c r="C2351" s="22"/>
      <c r="D2351" s="29"/>
    </row>
    <row r="2352" spans="2:4" x14ac:dyDescent="0.25">
      <c r="B2352" s="22"/>
      <c r="C2352" s="22"/>
      <c r="D2352" s="29"/>
    </row>
    <row r="2353" spans="2:4" x14ac:dyDescent="0.25">
      <c r="B2353" s="22"/>
      <c r="C2353" s="22"/>
      <c r="D2353" s="29"/>
    </row>
    <row r="2354" spans="2:4" x14ac:dyDescent="0.25">
      <c r="B2354" s="22"/>
      <c r="C2354" s="22"/>
      <c r="D2354" s="29"/>
    </row>
    <row r="2355" spans="2:4" x14ac:dyDescent="0.25">
      <c r="B2355" s="22"/>
      <c r="C2355" s="22"/>
      <c r="D2355" s="29"/>
    </row>
    <row r="2356" spans="2:4" x14ac:dyDescent="0.25">
      <c r="B2356" s="22"/>
      <c r="C2356" s="22"/>
      <c r="D2356" s="29"/>
    </row>
    <row r="2357" spans="2:4" x14ac:dyDescent="0.25">
      <c r="B2357" s="22"/>
      <c r="C2357" s="22"/>
      <c r="D2357" s="29"/>
    </row>
    <row r="2358" spans="2:4" x14ac:dyDescent="0.25">
      <c r="B2358" s="22"/>
      <c r="C2358" s="22"/>
      <c r="D2358" s="29"/>
    </row>
    <row r="2359" spans="2:4" x14ac:dyDescent="0.25">
      <c r="B2359" s="22"/>
      <c r="C2359" s="22"/>
      <c r="D2359" s="29"/>
    </row>
    <row r="2360" spans="2:4" x14ac:dyDescent="0.25">
      <c r="B2360" s="22"/>
      <c r="C2360" s="22"/>
      <c r="D2360" s="29"/>
    </row>
    <row r="2361" spans="2:4" x14ac:dyDescent="0.25">
      <c r="B2361" s="22"/>
      <c r="C2361" s="22"/>
      <c r="D2361" s="29"/>
    </row>
    <row r="2362" spans="2:4" x14ac:dyDescent="0.25">
      <c r="B2362" s="22"/>
      <c r="C2362" s="22"/>
      <c r="D2362" s="29"/>
    </row>
    <row r="2363" spans="2:4" x14ac:dyDescent="0.25">
      <c r="B2363" s="22"/>
      <c r="C2363" s="22"/>
      <c r="D2363" s="29"/>
    </row>
    <row r="2364" spans="2:4" x14ac:dyDescent="0.25">
      <c r="B2364" s="22"/>
      <c r="C2364" s="22"/>
      <c r="D2364" s="29"/>
    </row>
    <row r="2365" spans="2:4" x14ac:dyDescent="0.25">
      <c r="B2365" s="22"/>
      <c r="C2365" s="22"/>
      <c r="D2365" s="29"/>
    </row>
    <row r="2366" spans="2:4" x14ac:dyDescent="0.25">
      <c r="B2366" s="22"/>
      <c r="C2366" s="22"/>
      <c r="D2366" s="29"/>
    </row>
    <row r="2367" spans="2:4" x14ac:dyDescent="0.25">
      <c r="B2367" s="22"/>
      <c r="C2367" s="22"/>
      <c r="D2367" s="29"/>
    </row>
    <row r="2368" spans="2:4" x14ac:dyDescent="0.25">
      <c r="B2368" s="22"/>
      <c r="C2368" s="22"/>
      <c r="D2368" s="29"/>
    </row>
    <row r="2369" spans="2:4" x14ac:dyDescent="0.25">
      <c r="B2369" s="22"/>
      <c r="C2369" s="22"/>
      <c r="D2369" s="29"/>
    </row>
    <row r="2370" spans="2:4" x14ac:dyDescent="0.25">
      <c r="B2370" s="22"/>
      <c r="C2370" s="22"/>
      <c r="D2370" s="29"/>
    </row>
    <row r="2371" spans="2:4" x14ac:dyDescent="0.25">
      <c r="B2371" s="22"/>
      <c r="C2371" s="22"/>
      <c r="D2371" s="29"/>
    </row>
    <row r="2372" spans="2:4" x14ac:dyDescent="0.25">
      <c r="B2372" s="22"/>
      <c r="C2372" s="22"/>
      <c r="D2372" s="29"/>
    </row>
    <row r="2373" spans="2:4" x14ac:dyDescent="0.25">
      <c r="B2373" s="22"/>
      <c r="C2373" s="22"/>
      <c r="D2373" s="29"/>
    </row>
    <row r="2374" spans="2:4" x14ac:dyDescent="0.25">
      <c r="B2374" s="22"/>
      <c r="C2374" s="22"/>
      <c r="D2374" s="29"/>
    </row>
    <row r="2375" spans="2:4" x14ac:dyDescent="0.25">
      <c r="B2375" s="22"/>
      <c r="C2375" s="22"/>
      <c r="D2375" s="29"/>
    </row>
    <row r="2376" spans="2:4" x14ac:dyDescent="0.25">
      <c r="B2376" s="22"/>
      <c r="C2376" s="22"/>
      <c r="D2376" s="29"/>
    </row>
    <row r="2377" spans="2:4" x14ac:dyDescent="0.25">
      <c r="B2377" s="22"/>
      <c r="C2377" s="22"/>
      <c r="D2377" s="29"/>
    </row>
    <row r="2378" spans="2:4" x14ac:dyDescent="0.25">
      <c r="B2378" s="22"/>
      <c r="C2378" s="22"/>
      <c r="D2378" s="29"/>
    </row>
    <row r="2379" spans="2:4" x14ac:dyDescent="0.25">
      <c r="B2379" s="22"/>
      <c r="C2379" s="22"/>
      <c r="D2379" s="29"/>
    </row>
    <row r="2380" spans="2:4" x14ac:dyDescent="0.25">
      <c r="B2380" s="22"/>
      <c r="C2380" s="22"/>
      <c r="D2380" s="29"/>
    </row>
    <row r="2381" spans="2:4" x14ac:dyDescent="0.25">
      <c r="B2381" s="22"/>
      <c r="C2381" s="22"/>
      <c r="D2381" s="29"/>
    </row>
    <row r="2382" spans="2:4" x14ac:dyDescent="0.25">
      <c r="B2382" s="22"/>
      <c r="C2382" s="22"/>
      <c r="D2382" s="29"/>
    </row>
    <row r="2383" spans="2:4" x14ac:dyDescent="0.25">
      <c r="B2383" s="22"/>
      <c r="C2383" s="22"/>
      <c r="D2383" s="29"/>
    </row>
    <row r="2384" spans="2:4" x14ac:dyDescent="0.25">
      <c r="B2384" s="22"/>
      <c r="C2384" s="22"/>
      <c r="D2384" s="29"/>
    </row>
    <row r="2385" spans="2:4" x14ac:dyDescent="0.25">
      <c r="B2385" s="22"/>
      <c r="C2385" s="22"/>
      <c r="D2385" s="29"/>
    </row>
    <row r="2386" spans="2:4" x14ac:dyDescent="0.25">
      <c r="B2386" s="22"/>
      <c r="C2386" s="22"/>
      <c r="D2386" s="29"/>
    </row>
    <row r="2387" spans="2:4" x14ac:dyDescent="0.25">
      <c r="B2387" s="22"/>
      <c r="C2387" s="22"/>
      <c r="D2387" s="29"/>
    </row>
    <row r="2388" spans="2:4" x14ac:dyDescent="0.25">
      <c r="B2388" s="22"/>
      <c r="C2388" s="22"/>
      <c r="D2388" s="29"/>
    </row>
    <row r="2389" spans="2:4" x14ac:dyDescent="0.25">
      <c r="B2389" s="22"/>
      <c r="C2389" s="22"/>
      <c r="D2389" s="29"/>
    </row>
    <row r="2390" spans="2:4" x14ac:dyDescent="0.25">
      <c r="B2390" s="22"/>
      <c r="C2390" s="22"/>
      <c r="D2390" s="29"/>
    </row>
    <row r="2391" spans="2:4" x14ac:dyDescent="0.25">
      <c r="B2391" s="22"/>
      <c r="C2391" s="22"/>
      <c r="D2391" s="29"/>
    </row>
    <row r="2392" spans="2:4" x14ac:dyDescent="0.25">
      <c r="B2392" s="22"/>
      <c r="C2392" s="22"/>
      <c r="D2392" s="29"/>
    </row>
    <row r="2393" spans="2:4" x14ac:dyDescent="0.25">
      <c r="B2393" s="22"/>
      <c r="C2393" s="22"/>
      <c r="D2393" s="29"/>
    </row>
    <row r="2394" spans="2:4" x14ac:dyDescent="0.25">
      <c r="B2394" s="22"/>
      <c r="C2394" s="22"/>
      <c r="D2394" s="29"/>
    </row>
    <row r="2395" spans="2:4" x14ac:dyDescent="0.25">
      <c r="B2395" s="22"/>
      <c r="C2395" s="22"/>
      <c r="D2395" s="29"/>
    </row>
    <row r="2396" spans="2:4" x14ac:dyDescent="0.25">
      <c r="B2396" s="22"/>
      <c r="C2396" s="22"/>
      <c r="D2396" s="29"/>
    </row>
    <row r="2397" spans="2:4" x14ac:dyDescent="0.25">
      <c r="B2397" s="22"/>
      <c r="C2397" s="22"/>
      <c r="D2397" s="29"/>
    </row>
    <row r="2398" spans="2:4" x14ac:dyDescent="0.25">
      <c r="B2398" s="22"/>
      <c r="C2398" s="22"/>
      <c r="D2398" s="29"/>
    </row>
    <row r="2399" spans="2:4" x14ac:dyDescent="0.25">
      <c r="B2399" s="22"/>
      <c r="C2399" s="22"/>
      <c r="D2399" s="29"/>
    </row>
    <row r="2400" spans="2:4" x14ac:dyDescent="0.25">
      <c r="B2400" s="22"/>
      <c r="C2400" s="22"/>
      <c r="D2400" s="29"/>
    </row>
    <row r="2401" spans="2:4" x14ac:dyDescent="0.25">
      <c r="B2401" s="22"/>
      <c r="C2401" s="22"/>
      <c r="D2401" s="29"/>
    </row>
    <row r="2402" spans="2:4" x14ac:dyDescent="0.25">
      <c r="B2402" s="22"/>
      <c r="C2402" s="22"/>
      <c r="D2402" s="29"/>
    </row>
    <row r="2403" spans="2:4" x14ac:dyDescent="0.25">
      <c r="B2403" s="22"/>
      <c r="C2403" s="22"/>
      <c r="D2403" s="29"/>
    </row>
    <row r="2404" spans="2:4" x14ac:dyDescent="0.25">
      <c r="B2404" s="22"/>
      <c r="C2404" s="22"/>
      <c r="D2404" s="29"/>
    </row>
    <row r="2405" spans="2:4" x14ac:dyDescent="0.25">
      <c r="B2405" s="22"/>
      <c r="C2405" s="22"/>
      <c r="D2405" s="29"/>
    </row>
    <row r="2406" spans="2:4" x14ac:dyDescent="0.25">
      <c r="B2406" s="22"/>
      <c r="C2406" s="22"/>
      <c r="D2406" s="29"/>
    </row>
    <row r="2407" spans="2:4" x14ac:dyDescent="0.25">
      <c r="B2407" s="22"/>
      <c r="C2407" s="22"/>
      <c r="D2407" s="29"/>
    </row>
    <row r="2408" spans="2:4" x14ac:dyDescent="0.25">
      <c r="B2408" s="22"/>
      <c r="C2408" s="22"/>
      <c r="D2408" s="29"/>
    </row>
    <row r="2409" spans="2:4" x14ac:dyDescent="0.25">
      <c r="B2409" s="22"/>
      <c r="C2409" s="22"/>
      <c r="D2409" s="29"/>
    </row>
    <row r="2410" spans="2:4" x14ac:dyDescent="0.25">
      <c r="B2410" s="22"/>
      <c r="C2410" s="22"/>
      <c r="D2410" s="29"/>
    </row>
    <row r="2411" spans="2:4" x14ac:dyDescent="0.25">
      <c r="B2411" s="22"/>
      <c r="C2411" s="22"/>
      <c r="D2411" s="29"/>
    </row>
    <row r="2412" spans="2:4" x14ac:dyDescent="0.25">
      <c r="B2412" s="22"/>
      <c r="C2412" s="22"/>
      <c r="D2412" s="29"/>
    </row>
    <row r="2413" spans="2:4" x14ac:dyDescent="0.25">
      <c r="B2413" s="22"/>
      <c r="C2413" s="22"/>
      <c r="D2413" s="29"/>
    </row>
    <row r="2414" spans="2:4" x14ac:dyDescent="0.25">
      <c r="B2414" s="22"/>
      <c r="C2414" s="22"/>
      <c r="D2414" s="29"/>
    </row>
    <row r="2415" spans="2:4" x14ac:dyDescent="0.25">
      <c r="B2415" s="22"/>
      <c r="C2415" s="22"/>
      <c r="D2415" s="29"/>
    </row>
    <row r="2416" spans="2:4" x14ac:dyDescent="0.25">
      <c r="B2416" s="22"/>
      <c r="C2416" s="22"/>
      <c r="D2416" s="29"/>
    </row>
    <row r="2417" spans="2:4" x14ac:dyDescent="0.25">
      <c r="B2417" s="22"/>
      <c r="C2417" s="22"/>
      <c r="D2417" s="29"/>
    </row>
    <row r="2418" spans="2:4" x14ac:dyDescent="0.25">
      <c r="B2418" s="22"/>
      <c r="C2418" s="22"/>
      <c r="D2418" s="29"/>
    </row>
    <row r="2419" spans="2:4" x14ac:dyDescent="0.25">
      <c r="B2419" s="22"/>
      <c r="C2419" s="22"/>
      <c r="D2419" s="29"/>
    </row>
    <row r="2420" spans="2:4" x14ac:dyDescent="0.25">
      <c r="B2420" s="22"/>
      <c r="C2420" s="22"/>
      <c r="D2420" s="29"/>
    </row>
    <row r="2421" spans="2:4" x14ac:dyDescent="0.25">
      <c r="B2421" s="22"/>
      <c r="C2421" s="22"/>
      <c r="D2421" s="29"/>
    </row>
    <row r="2422" spans="2:4" x14ac:dyDescent="0.25">
      <c r="B2422" s="22"/>
      <c r="C2422" s="22"/>
      <c r="D2422" s="29"/>
    </row>
    <row r="2423" spans="2:4" x14ac:dyDescent="0.25">
      <c r="B2423" s="22"/>
      <c r="C2423" s="22"/>
      <c r="D2423" s="29"/>
    </row>
    <row r="2424" spans="2:4" x14ac:dyDescent="0.25">
      <c r="B2424" s="22"/>
      <c r="C2424" s="22"/>
      <c r="D2424" s="29"/>
    </row>
    <row r="2425" spans="2:4" x14ac:dyDescent="0.25">
      <c r="B2425" s="22"/>
      <c r="C2425" s="22"/>
      <c r="D2425" s="29"/>
    </row>
    <row r="2426" spans="2:4" x14ac:dyDescent="0.25">
      <c r="B2426" s="22"/>
      <c r="C2426" s="22"/>
      <c r="D2426" s="29"/>
    </row>
    <row r="2427" spans="2:4" x14ac:dyDescent="0.25">
      <c r="B2427" s="22"/>
      <c r="C2427" s="22"/>
      <c r="D2427" s="29"/>
    </row>
    <row r="2428" spans="2:4" x14ac:dyDescent="0.25">
      <c r="B2428" s="22"/>
      <c r="C2428" s="22"/>
      <c r="D2428" s="29"/>
    </row>
    <row r="2429" spans="2:4" x14ac:dyDescent="0.25">
      <c r="B2429" s="22"/>
      <c r="C2429" s="22"/>
      <c r="D2429" s="29"/>
    </row>
    <row r="2430" spans="2:4" x14ac:dyDescent="0.25">
      <c r="B2430" s="22"/>
      <c r="C2430" s="22"/>
      <c r="D2430" s="29"/>
    </row>
    <row r="2431" spans="2:4" x14ac:dyDescent="0.25">
      <c r="B2431" s="22"/>
      <c r="C2431" s="22"/>
      <c r="D2431" s="29"/>
    </row>
    <row r="2432" spans="2:4" x14ac:dyDescent="0.25">
      <c r="B2432" s="22"/>
      <c r="C2432" s="22"/>
      <c r="D2432" s="29"/>
    </row>
    <row r="2433" spans="2:4" x14ac:dyDescent="0.25">
      <c r="B2433" s="22"/>
      <c r="C2433" s="22"/>
      <c r="D2433" s="29"/>
    </row>
    <row r="2434" spans="2:4" x14ac:dyDescent="0.25">
      <c r="B2434" s="22"/>
      <c r="C2434" s="22"/>
      <c r="D2434" s="29"/>
    </row>
    <row r="2435" spans="2:4" x14ac:dyDescent="0.25">
      <c r="B2435" s="22"/>
      <c r="C2435" s="22"/>
      <c r="D2435" s="29"/>
    </row>
    <row r="2436" spans="2:4" x14ac:dyDescent="0.25">
      <c r="B2436" s="22"/>
      <c r="C2436" s="22"/>
      <c r="D2436" s="29"/>
    </row>
    <row r="2437" spans="2:4" x14ac:dyDescent="0.25">
      <c r="B2437" s="22"/>
      <c r="C2437" s="22"/>
      <c r="D2437" s="29"/>
    </row>
    <row r="2438" spans="2:4" x14ac:dyDescent="0.25">
      <c r="B2438" s="22"/>
      <c r="C2438" s="22"/>
      <c r="D2438" s="29"/>
    </row>
    <row r="2439" spans="2:4" x14ac:dyDescent="0.25">
      <c r="B2439" s="22"/>
      <c r="C2439" s="22"/>
      <c r="D2439" s="29"/>
    </row>
    <row r="2440" spans="2:4" x14ac:dyDescent="0.25">
      <c r="B2440" s="22"/>
      <c r="C2440" s="22"/>
      <c r="D2440" s="29"/>
    </row>
    <row r="2441" spans="2:4" x14ac:dyDescent="0.25">
      <c r="B2441" s="22"/>
      <c r="C2441" s="22"/>
      <c r="D2441" s="29"/>
    </row>
    <row r="2442" spans="2:4" x14ac:dyDescent="0.25">
      <c r="B2442" s="22"/>
      <c r="C2442" s="22"/>
      <c r="D2442" s="29"/>
    </row>
    <row r="2443" spans="2:4" x14ac:dyDescent="0.25">
      <c r="B2443" s="22"/>
      <c r="C2443" s="22"/>
      <c r="D2443" s="29"/>
    </row>
    <row r="2444" spans="2:4" x14ac:dyDescent="0.25">
      <c r="B2444" s="22"/>
      <c r="C2444" s="22"/>
      <c r="D2444" s="29"/>
    </row>
    <row r="2445" spans="2:4" x14ac:dyDescent="0.25">
      <c r="B2445" s="22"/>
      <c r="C2445" s="22"/>
      <c r="D2445" s="29"/>
    </row>
    <row r="2446" spans="2:4" x14ac:dyDescent="0.25">
      <c r="B2446" s="22"/>
      <c r="C2446" s="22"/>
      <c r="D2446" s="29"/>
    </row>
    <row r="2447" spans="2:4" x14ac:dyDescent="0.25">
      <c r="B2447" s="22"/>
      <c r="C2447" s="22"/>
      <c r="D2447" s="29"/>
    </row>
    <row r="2448" spans="2:4" x14ac:dyDescent="0.25">
      <c r="B2448" s="22"/>
      <c r="C2448" s="22"/>
      <c r="D2448" s="29"/>
    </row>
    <row r="2449" spans="2:4" x14ac:dyDescent="0.25">
      <c r="B2449" s="22"/>
      <c r="C2449" s="22"/>
      <c r="D2449" s="29"/>
    </row>
    <row r="2450" spans="2:4" x14ac:dyDescent="0.25">
      <c r="B2450" s="22"/>
      <c r="C2450" s="22"/>
      <c r="D2450" s="29"/>
    </row>
    <row r="2451" spans="2:4" x14ac:dyDescent="0.25">
      <c r="B2451" s="22"/>
      <c r="C2451" s="22"/>
      <c r="D2451" s="29"/>
    </row>
    <row r="2452" spans="2:4" x14ac:dyDescent="0.25">
      <c r="B2452" s="22"/>
      <c r="C2452" s="22"/>
      <c r="D2452" s="29"/>
    </row>
    <row r="2453" spans="2:4" x14ac:dyDescent="0.25">
      <c r="B2453" s="22"/>
      <c r="C2453" s="22"/>
      <c r="D2453" s="29"/>
    </row>
    <row r="2454" spans="2:4" x14ac:dyDescent="0.25">
      <c r="B2454" s="22"/>
      <c r="C2454" s="22"/>
      <c r="D2454" s="29"/>
    </row>
    <row r="2455" spans="2:4" x14ac:dyDescent="0.25">
      <c r="B2455" s="22"/>
      <c r="C2455" s="22"/>
      <c r="D2455" s="29"/>
    </row>
    <row r="2456" spans="2:4" x14ac:dyDescent="0.25">
      <c r="B2456" s="22"/>
      <c r="C2456" s="22"/>
      <c r="D2456" s="29"/>
    </row>
    <row r="2457" spans="2:4" x14ac:dyDescent="0.25">
      <c r="B2457" s="22"/>
      <c r="C2457" s="22"/>
      <c r="D2457" s="29"/>
    </row>
    <row r="2458" spans="2:4" x14ac:dyDescent="0.25">
      <c r="B2458" s="22"/>
      <c r="C2458" s="22"/>
      <c r="D2458" s="29"/>
    </row>
    <row r="2459" spans="2:4" x14ac:dyDescent="0.25">
      <c r="B2459" s="22"/>
      <c r="C2459" s="22"/>
      <c r="D2459" s="29"/>
    </row>
    <row r="2460" spans="2:4" x14ac:dyDescent="0.25">
      <c r="B2460" s="22"/>
      <c r="C2460" s="22"/>
      <c r="D2460" s="29"/>
    </row>
    <row r="2461" spans="2:4" x14ac:dyDescent="0.25">
      <c r="B2461" s="22"/>
      <c r="C2461" s="22"/>
      <c r="D2461" s="29"/>
    </row>
    <row r="2462" spans="2:4" x14ac:dyDescent="0.25">
      <c r="B2462" s="22"/>
      <c r="C2462" s="22"/>
      <c r="D2462" s="29"/>
    </row>
    <row r="2463" spans="2:4" x14ac:dyDescent="0.25">
      <c r="B2463" s="22"/>
      <c r="C2463" s="22"/>
      <c r="D2463" s="29"/>
    </row>
    <row r="2464" spans="2:4" x14ac:dyDescent="0.25">
      <c r="B2464" s="22"/>
      <c r="C2464" s="22"/>
      <c r="D2464" s="29"/>
    </row>
    <row r="2465" spans="2:4" x14ac:dyDescent="0.25">
      <c r="B2465" s="22"/>
      <c r="C2465" s="22"/>
      <c r="D2465" s="29"/>
    </row>
    <row r="2466" spans="2:4" x14ac:dyDescent="0.25">
      <c r="B2466" s="22"/>
      <c r="C2466" s="22"/>
      <c r="D2466" s="29"/>
    </row>
    <row r="2467" spans="2:4" x14ac:dyDescent="0.25">
      <c r="B2467" s="22"/>
      <c r="C2467" s="22"/>
      <c r="D2467" s="29"/>
    </row>
    <row r="2468" spans="2:4" x14ac:dyDescent="0.25">
      <c r="B2468" s="22"/>
      <c r="C2468" s="22"/>
      <c r="D2468" s="29"/>
    </row>
    <row r="2469" spans="2:4" x14ac:dyDescent="0.25">
      <c r="B2469" s="22"/>
      <c r="C2469" s="22"/>
      <c r="D2469" s="29"/>
    </row>
    <row r="2470" spans="2:4" x14ac:dyDescent="0.25">
      <c r="B2470" s="22"/>
      <c r="C2470" s="22"/>
      <c r="D2470" s="29"/>
    </row>
    <row r="2471" spans="2:4" x14ac:dyDescent="0.25">
      <c r="B2471" s="22"/>
      <c r="C2471" s="22"/>
      <c r="D2471" s="29"/>
    </row>
    <row r="2472" spans="2:4" x14ac:dyDescent="0.25">
      <c r="B2472" s="22"/>
      <c r="C2472" s="22"/>
      <c r="D2472" s="29"/>
    </row>
    <row r="2473" spans="2:4" x14ac:dyDescent="0.25">
      <c r="B2473" s="22"/>
      <c r="C2473" s="22"/>
      <c r="D2473" s="29"/>
    </row>
    <row r="2474" spans="2:4" x14ac:dyDescent="0.25">
      <c r="B2474" s="22"/>
      <c r="C2474" s="22"/>
      <c r="D2474" s="29"/>
    </row>
    <row r="2475" spans="2:4" x14ac:dyDescent="0.25">
      <c r="B2475" s="22"/>
      <c r="C2475" s="22"/>
      <c r="D2475" s="29"/>
    </row>
    <row r="2476" spans="2:4" x14ac:dyDescent="0.25">
      <c r="B2476" s="22"/>
      <c r="C2476" s="22"/>
      <c r="D2476" s="29"/>
    </row>
    <row r="2477" spans="2:4" x14ac:dyDescent="0.25">
      <c r="B2477" s="22"/>
      <c r="C2477" s="22"/>
      <c r="D2477" s="29"/>
    </row>
    <row r="2478" spans="2:4" x14ac:dyDescent="0.25">
      <c r="B2478" s="22"/>
      <c r="C2478" s="22"/>
      <c r="D2478" s="29"/>
    </row>
    <row r="2479" spans="2:4" x14ac:dyDescent="0.25">
      <c r="B2479" s="22"/>
      <c r="C2479" s="22"/>
      <c r="D2479" s="29"/>
    </row>
    <row r="2480" spans="2:4" x14ac:dyDescent="0.25">
      <c r="B2480" s="22"/>
      <c r="C2480" s="22"/>
      <c r="D2480" s="29"/>
    </row>
    <row r="2481" spans="2:4" x14ac:dyDescent="0.25">
      <c r="B2481" s="22"/>
      <c r="C2481" s="22"/>
      <c r="D2481" s="29"/>
    </row>
    <row r="2482" spans="2:4" x14ac:dyDescent="0.25">
      <c r="B2482" s="22"/>
      <c r="C2482" s="22"/>
      <c r="D2482" s="29"/>
    </row>
    <row r="2483" spans="2:4" x14ac:dyDescent="0.25">
      <c r="B2483" s="22"/>
      <c r="C2483" s="22"/>
      <c r="D2483" s="29"/>
    </row>
    <row r="2484" spans="2:4" x14ac:dyDescent="0.25">
      <c r="B2484" s="22"/>
      <c r="C2484" s="22"/>
      <c r="D2484" s="29"/>
    </row>
    <row r="2485" spans="2:4" x14ac:dyDescent="0.25">
      <c r="B2485" s="22"/>
      <c r="C2485" s="22"/>
      <c r="D2485" s="29"/>
    </row>
    <row r="2486" spans="2:4" x14ac:dyDescent="0.25">
      <c r="B2486" s="22"/>
      <c r="C2486" s="22"/>
      <c r="D2486" s="29"/>
    </row>
    <row r="2487" spans="2:4" x14ac:dyDescent="0.25">
      <c r="B2487" s="22"/>
      <c r="C2487" s="22"/>
      <c r="D2487" s="29"/>
    </row>
    <row r="2488" spans="2:4" x14ac:dyDescent="0.25">
      <c r="B2488" s="22"/>
      <c r="C2488" s="22"/>
      <c r="D2488" s="29"/>
    </row>
    <row r="2489" spans="2:4" x14ac:dyDescent="0.25">
      <c r="B2489" s="22"/>
      <c r="C2489" s="22"/>
      <c r="D2489" s="29"/>
    </row>
    <row r="2490" spans="2:4" x14ac:dyDescent="0.25">
      <c r="B2490" s="22"/>
      <c r="C2490" s="22"/>
      <c r="D2490" s="29"/>
    </row>
    <row r="2491" spans="2:4" x14ac:dyDescent="0.25">
      <c r="B2491" s="22"/>
      <c r="C2491" s="22"/>
      <c r="D2491" s="29"/>
    </row>
    <row r="2492" spans="2:4" x14ac:dyDescent="0.25">
      <c r="B2492" s="22"/>
      <c r="C2492" s="22"/>
      <c r="D2492" s="29"/>
    </row>
    <row r="2493" spans="2:4" x14ac:dyDescent="0.25">
      <c r="B2493" s="22"/>
      <c r="C2493" s="22"/>
      <c r="D2493" s="29"/>
    </row>
    <row r="2494" spans="2:4" x14ac:dyDescent="0.25">
      <c r="B2494" s="22"/>
      <c r="C2494" s="22"/>
      <c r="D2494" s="29"/>
    </row>
    <row r="2495" spans="2:4" x14ac:dyDescent="0.25">
      <c r="B2495" s="22"/>
      <c r="C2495" s="22"/>
      <c r="D2495" s="29"/>
    </row>
    <row r="2496" spans="2:4" x14ac:dyDescent="0.25">
      <c r="B2496" s="22"/>
      <c r="C2496" s="22"/>
      <c r="D2496" s="29"/>
    </row>
    <row r="2497" spans="2:4" x14ac:dyDescent="0.25">
      <c r="B2497" s="22"/>
      <c r="C2497" s="22"/>
      <c r="D2497" s="29"/>
    </row>
    <row r="2498" spans="2:4" x14ac:dyDescent="0.25">
      <c r="B2498" s="22"/>
      <c r="C2498" s="22"/>
      <c r="D2498" s="29"/>
    </row>
    <row r="2499" spans="2:4" x14ac:dyDescent="0.25">
      <c r="B2499" s="22"/>
      <c r="C2499" s="22"/>
      <c r="D2499" s="29"/>
    </row>
    <row r="2500" spans="2:4" x14ac:dyDescent="0.25">
      <c r="B2500" s="22"/>
      <c r="C2500" s="22"/>
      <c r="D2500" s="29"/>
    </row>
    <row r="2501" spans="2:4" x14ac:dyDescent="0.25">
      <c r="B2501" s="22"/>
      <c r="C2501" s="22"/>
      <c r="D2501" s="29"/>
    </row>
    <row r="2502" spans="2:4" x14ac:dyDescent="0.25">
      <c r="B2502" s="22"/>
      <c r="C2502" s="22"/>
      <c r="D2502" s="29"/>
    </row>
    <row r="2503" spans="2:4" x14ac:dyDescent="0.25">
      <c r="B2503" s="22"/>
      <c r="C2503" s="22"/>
      <c r="D2503" s="29"/>
    </row>
    <row r="2504" spans="2:4" x14ac:dyDescent="0.25">
      <c r="B2504" s="22"/>
      <c r="C2504" s="22"/>
      <c r="D2504" s="29"/>
    </row>
    <row r="2505" spans="2:4" x14ac:dyDescent="0.25">
      <c r="B2505" s="22"/>
      <c r="C2505" s="22"/>
      <c r="D2505" s="29"/>
    </row>
    <row r="2506" spans="2:4" x14ac:dyDescent="0.25">
      <c r="B2506" s="22"/>
      <c r="C2506" s="22"/>
      <c r="D2506" s="29"/>
    </row>
    <row r="2507" spans="2:4" x14ac:dyDescent="0.25">
      <c r="B2507" s="22"/>
      <c r="C2507" s="22"/>
      <c r="D2507" s="29"/>
    </row>
    <row r="2508" spans="2:4" x14ac:dyDescent="0.25">
      <c r="B2508" s="22"/>
      <c r="C2508" s="22"/>
      <c r="D2508" s="29"/>
    </row>
    <row r="2509" spans="2:4" x14ac:dyDescent="0.25">
      <c r="B2509" s="22"/>
      <c r="C2509" s="22"/>
      <c r="D2509" s="29"/>
    </row>
    <row r="2510" spans="2:4" x14ac:dyDescent="0.25">
      <c r="B2510" s="22"/>
      <c r="C2510" s="22"/>
      <c r="D2510" s="29"/>
    </row>
    <row r="2511" spans="2:4" x14ac:dyDescent="0.25">
      <c r="B2511" s="22"/>
      <c r="C2511" s="22"/>
      <c r="D2511" s="29"/>
    </row>
    <row r="2512" spans="2:4" x14ac:dyDescent="0.25">
      <c r="B2512" s="22"/>
      <c r="C2512" s="22"/>
      <c r="D2512" s="29"/>
    </row>
    <row r="2513" spans="2:4" x14ac:dyDescent="0.25">
      <c r="B2513" s="22"/>
      <c r="C2513" s="22"/>
      <c r="D2513" s="29"/>
    </row>
    <row r="2514" spans="2:4" x14ac:dyDescent="0.25">
      <c r="B2514" s="22"/>
      <c r="C2514" s="22"/>
      <c r="D2514" s="29"/>
    </row>
    <row r="2515" spans="2:4" x14ac:dyDescent="0.25">
      <c r="B2515" s="22"/>
      <c r="C2515" s="22"/>
      <c r="D2515" s="29"/>
    </row>
    <row r="2516" spans="2:4" x14ac:dyDescent="0.25">
      <c r="B2516" s="22"/>
      <c r="C2516" s="22"/>
      <c r="D2516" s="29"/>
    </row>
    <row r="2517" spans="2:4" x14ac:dyDescent="0.25">
      <c r="B2517" s="22"/>
      <c r="C2517" s="22"/>
      <c r="D2517" s="29"/>
    </row>
    <row r="2518" spans="2:4" x14ac:dyDescent="0.25">
      <c r="B2518" s="22"/>
      <c r="C2518" s="22"/>
      <c r="D2518" s="29"/>
    </row>
    <row r="2519" spans="2:4" x14ac:dyDescent="0.25">
      <c r="B2519" s="22"/>
      <c r="C2519" s="22"/>
      <c r="D2519" s="29"/>
    </row>
    <row r="2520" spans="2:4" x14ac:dyDescent="0.25">
      <c r="B2520" s="22"/>
      <c r="C2520" s="22"/>
      <c r="D2520" s="29"/>
    </row>
    <row r="2521" spans="2:4" x14ac:dyDescent="0.25">
      <c r="B2521" s="22"/>
      <c r="C2521" s="22"/>
      <c r="D2521" s="29"/>
    </row>
    <row r="2522" spans="2:4" x14ac:dyDescent="0.25">
      <c r="B2522" s="22"/>
      <c r="C2522" s="22"/>
      <c r="D2522" s="29"/>
    </row>
    <row r="2523" spans="2:4" x14ac:dyDescent="0.25">
      <c r="B2523" s="22"/>
      <c r="C2523" s="22"/>
      <c r="D2523" s="29"/>
    </row>
    <row r="2524" spans="2:4" x14ac:dyDescent="0.25">
      <c r="B2524" s="22"/>
      <c r="C2524" s="22"/>
      <c r="D2524" s="29"/>
    </row>
    <row r="2525" spans="2:4" x14ac:dyDescent="0.25">
      <c r="B2525" s="22"/>
      <c r="C2525" s="22"/>
      <c r="D2525" s="29"/>
    </row>
    <row r="2526" spans="2:4" x14ac:dyDescent="0.25">
      <c r="B2526" s="22"/>
      <c r="C2526" s="22"/>
      <c r="D2526" s="29"/>
    </row>
    <row r="2527" spans="2:4" x14ac:dyDescent="0.25">
      <c r="B2527" s="22"/>
      <c r="C2527" s="22"/>
      <c r="D2527" s="29"/>
    </row>
    <row r="2528" spans="2:4" x14ac:dyDescent="0.25">
      <c r="B2528" s="22"/>
      <c r="C2528" s="22"/>
      <c r="D2528" s="29"/>
    </row>
    <row r="2529" spans="2:4" x14ac:dyDescent="0.25">
      <c r="B2529" s="22"/>
      <c r="C2529" s="22"/>
      <c r="D2529" s="29"/>
    </row>
    <row r="2530" spans="2:4" x14ac:dyDescent="0.25">
      <c r="B2530" s="22"/>
      <c r="C2530" s="22"/>
      <c r="D2530" s="29"/>
    </row>
    <row r="2531" spans="2:4" x14ac:dyDescent="0.25">
      <c r="B2531" s="22"/>
      <c r="C2531" s="22"/>
      <c r="D2531" s="29"/>
    </row>
    <row r="2532" spans="2:4" x14ac:dyDescent="0.25">
      <c r="B2532" s="22"/>
      <c r="C2532" s="22"/>
      <c r="D2532" s="29"/>
    </row>
    <row r="2533" spans="2:4" x14ac:dyDescent="0.25">
      <c r="B2533" s="22"/>
      <c r="C2533" s="22"/>
      <c r="D2533" s="29"/>
    </row>
    <row r="2534" spans="2:4" x14ac:dyDescent="0.25">
      <c r="B2534" s="22"/>
      <c r="C2534" s="22"/>
      <c r="D2534" s="29"/>
    </row>
    <row r="2535" spans="2:4" x14ac:dyDescent="0.25">
      <c r="B2535" s="22"/>
      <c r="C2535" s="22"/>
      <c r="D2535" s="29"/>
    </row>
    <row r="2536" spans="2:4" x14ac:dyDescent="0.25">
      <c r="B2536" s="22"/>
      <c r="C2536" s="22"/>
      <c r="D2536" s="29"/>
    </row>
    <row r="2537" spans="2:4" x14ac:dyDescent="0.25">
      <c r="B2537" s="22"/>
      <c r="C2537" s="22"/>
      <c r="D2537" s="29"/>
    </row>
    <row r="2538" spans="2:4" x14ac:dyDescent="0.25">
      <c r="B2538" s="22"/>
      <c r="C2538" s="22"/>
      <c r="D2538" s="29"/>
    </row>
    <row r="2539" spans="2:4" x14ac:dyDescent="0.25">
      <c r="B2539" s="22"/>
      <c r="C2539" s="22"/>
      <c r="D2539" s="29"/>
    </row>
    <row r="2540" spans="2:4" x14ac:dyDescent="0.25">
      <c r="B2540" s="22"/>
      <c r="C2540" s="22"/>
      <c r="D2540" s="29"/>
    </row>
    <row r="2541" spans="2:4" x14ac:dyDescent="0.25">
      <c r="B2541" s="22"/>
      <c r="C2541" s="22"/>
      <c r="D2541" s="29"/>
    </row>
    <row r="2542" spans="2:4" x14ac:dyDescent="0.25">
      <c r="B2542" s="22"/>
      <c r="C2542" s="22"/>
      <c r="D2542" s="29"/>
    </row>
    <row r="2543" spans="2:4" x14ac:dyDescent="0.25">
      <c r="B2543" s="22"/>
      <c r="C2543" s="22"/>
      <c r="D2543" s="29"/>
    </row>
    <row r="2544" spans="2:4" x14ac:dyDescent="0.25">
      <c r="B2544" s="22"/>
      <c r="C2544" s="22"/>
      <c r="D2544" s="29"/>
    </row>
    <row r="2545" spans="2:4" x14ac:dyDescent="0.25">
      <c r="B2545" s="22"/>
      <c r="C2545" s="22"/>
      <c r="D2545" s="29"/>
    </row>
    <row r="2546" spans="2:4" x14ac:dyDescent="0.25">
      <c r="B2546" s="22"/>
      <c r="C2546" s="22"/>
      <c r="D2546" s="29"/>
    </row>
    <row r="2547" spans="2:4" x14ac:dyDescent="0.25">
      <c r="B2547" s="22"/>
      <c r="C2547" s="22"/>
      <c r="D2547" s="29"/>
    </row>
    <row r="2548" spans="2:4" x14ac:dyDescent="0.25">
      <c r="B2548" s="22"/>
      <c r="C2548" s="22"/>
      <c r="D2548" s="29"/>
    </row>
    <row r="2549" spans="2:4" x14ac:dyDescent="0.25">
      <c r="B2549" s="22"/>
      <c r="C2549" s="22"/>
      <c r="D2549" s="29"/>
    </row>
    <row r="2550" spans="2:4" x14ac:dyDescent="0.25">
      <c r="B2550" s="22"/>
      <c r="C2550" s="22"/>
      <c r="D2550" s="29"/>
    </row>
    <row r="2551" spans="2:4" x14ac:dyDescent="0.25">
      <c r="B2551" s="22"/>
      <c r="C2551" s="22"/>
      <c r="D2551" s="29"/>
    </row>
    <row r="2552" spans="2:4" x14ac:dyDescent="0.25">
      <c r="B2552" s="22"/>
      <c r="C2552" s="22"/>
      <c r="D2552" s="29"/>
    </row>
    <row r="2553" spans="2:4" x14ac:dyDescent="0.25">
      <c r="B2553" s="22"/>
      <c r="C2553" s="22"/>
      <c r="D2553" s="29"/>
    </row>
    <row r="2554" spans="2:4" x14ac:dyDescent="0.25">
      <c r="B2554" s="22"/>
      <c r="C2554" s="22"/>
      <c r="D2554" s="29"/>
    </row>
    <row r="2555" spans="2:4" x14ac:dyDescent="0.25">
      <c r="B2555" s="22"/>
      <c r="C2555" s="22"/>
      <c r="D2555" s="29"/>
    </row>
    <row r="2556" spans="2:4" x14ac:dyDescent="0.25">
      <c r="B2556" s="22"/>
      <c r="C2556" s="22"/>
      <c r="D2556" s="29"/>
    </row>
    <row r="2557" spans="2:4" x14ac:dyDescent="0.25">
      <c r="B2557" s="22"/>
      <c r="C2557" s="22"/>
      <c r="D2557" s="29"/>
    </row>
    <row r="2558" spans="2:4" x14ac:dyDescent="0.25">
      <c r="B2558" s="22"/>
      <c r="C2558" s="22"/>
      <c r="D2558" s="29"/>
    </row>
    <row r="2559" spans="2:4" x14ac:dyDescent="0.25">
      <c r="B2559" s="22"/>
      <c r="C2559" s="22"/>
      <c r="D2559" s="29"/>
    </row>
    <row r="2560" spans="2:4" x14ac:dyDescent="0.25">
      <c r="B2560" s="22"/>
      <c r="C2560" s="22"/>
      <c r="D2560" s="29"/>
    </row>
    <row r="2561" spans="2:4" x14ac:dyDescent="0.25">
      <c r="B2561" s="22"/>
      <c r="C2561" s="22"/>
      <c r="D2561" s="29"/>
    </row>
    <row r="2562" spans="2:4" x14ac:dyDescent="0.25">
      <c r="B2562" s="22"/>
      <c r="C2562" s="22"/>
      <c r="D2562" s="29"/>
    </row>
    <row r="2563" spans="2:4" x14ac:dyDescent="0.25">
      <c r="B2563" s="22"/>
      <c r="C2563" s="22"/>
      <c r="D2563" s="29"/>
    </row>
    <row r="2564" spans="2:4" x14ac:dyDescent="0.25">
      <c r="B2564" s="22"/>
      <c r="C2564" s="22"/>
      <c r="D2564" s="29"/>
    </row>
    <row r="2565" spans="2:4" x14ac:dyDescent="0.25">
      <c r="B2565" s="22"/>
      <c r="C2565" s="22"/>
      <c r="D2565" s="29"/>
    </row>
    <row r="2566" spans="2:4" x14ac:dyDescent="0.25">
      <c r="B2566" s="22"/>
      <c r="C2566" s="22"/>
      <c r="D2566" s="29"/>
    </row>
    <row r="2567" spans="2:4" x14ac:dyDescent="0.25">
      <c r="B2567" s="22"/>
      <c r="C2567" s="22"/>
      <c r="D2567" s="29"/>
    </row>
    <row r="2568" spans="2:4" x14ac:dyDescent="0.25">
      <c r="B2568" s="22"/>
      <c r="C2568" s="22"/>
      <c r="D2568" s="29"/>
    </row>
    <row r="2569" spans="2:4" x14ac:dyDescent="0.25">
      <c r="B2569" s="22"/>
      <c r="C2569" s="22"/>
      <c r="D2569" s="29"/>
    </row>
    <row r="2570" spans="2:4" x14ac:dyDescent="0.25">
      <c r="B2570" s="22"/>
      <c r="C2570" s="22"/>
      <c r="D2570" s="29"/>
    </row>
    <row r="2571" spans="2:4" x14ac:dyDescent="0.25">
      <c r="B2571" s="22"/>
      <c r="C2571" s="22"/>
      <c r="D2571" s="29"/>
    </row>
    <row r="2572" spans="2:4" x14ac:dyDescent="0.25">
      <c r="B2572" s="22"/>
      <c r="C2572" s="22"/>
      <c r="D2572" s="29"/>
    </row>
    <row r="2573" spans="2:4" x14ac:dyDescent="0.25">
      <c r="B2573" s="22"/>
      <c r="C2573" s="22"/>
      <c r="D2573" s="29"/>
    </row>
    <row r="2574" spans="2:4" x14ac:dyDescent="0.25">
      <c r="B2574" s="22"/>
      <c r="C2574" s="22"/>
      <c r="D2574" s="29"/>
    </row>
    <row r="2575" spans="2:4" x14ac:dyDescent="0.25">
      <c r="B2575" s="22"/>
      <c r="C2575" s="22"/>
      <c r="D2575" s="29"/>
    </row>
    <row r="2576" spans="2:4" x14ac:dyDescent="0.25">
      <c r="B2576" s="22"/>
      <c r="C2576" s="22"/>
      <c r="D2576" s="29"/>
    </row>
    <row r="2577" spans="2:4" x14ac:dyDescent="0.25">
      <c r="B2577" s="22"/>
      <c r="C2577" s="22"/>
      <c r="D2577" s="29"/>
    </row>
    <row r="2578" spans="2:4" x14ac:dyDescent="0.25">
      <c r="B2578" s="22"/>
      <c r="C2578" s="22"/>
      <c r="D2578" s="29"/>
    </row>
    <row r="2579" spans="2:4" x14ac:dyDescent="0.25">
      <c r="B2579" s="22"/>
      <c r="C2579" s="22"/>
      <c r="D2579" s="29"/>
    </row>
    <row r="2580" spans="2:4" x14ac:dyDescent="0.25">
      <c r="B2580" s="22"/>
      <c r="C2580" s="22"/>
      <c r="D2580" s="29"/>
    </row>
    <row r="2581" spans="2:4" x14ac:dyDescent="0.25">
      <c r="B2581" s="22"/>
      <c r="C2581" s="22"/>
      <c r="D2581" s="29"/>
    </row>
    <row r="2582" spans="2:4" x14ac:dyDescent="0.25">
      <c r="B2582" s="22"/>
      <c r="C2582" s="22"/>
      <c r="D2582" s="29"/>
    </row>
    <row r="2583" spans="2:4" x14ac:dyDescent="0.25">
      <c r="B2583" s="22"/>
      <c r="C2583" s="22"/>
      <c r="D2583" s="29"/>
    </row>
    <row r="2584" spans="2:4" x14ac:dyDescent="0.25">
      <c r="B2584" s="22"/>
      <c r="C2584" s="22"/>
      <c r="D2584" s="29"/>
    </row>
    <row r="2585" spans="2:4" x14ac:dyDescent="0.25">
      <c r="B2585" s="22"/>
      <c r="C2585" s="22"/>
      <c r="D2585" s="29"/>
    </row>
    <row r="2586" spans="2:4" x14ac:dyDescent="0.25">
      <c r="B2586" s="22"/>
      <c r="C2586" s="22"/>
      <c r="D2586" s="29"/>
    </row>
    <row r="2587" spans="2:4" x14ac:dyDescent="0.25">
      <c r="B2587" s="22"/>
      <c r="C2587" s="22"/>
      <c r="D2587" s="29"/>
    </row>
    <row r="2588" spans="2:4" x14ac:dyDescent="0.25">
      <c r="B2588" s="22"/>
      <c r="C2588" s="22"/>
      <c r="D2588" s="29"/>
    </row>
    <row r="2589" spans="2:4" x14ac:dyDescent="0.25">
      <c r="B2589" s="22"/>
      <c r="C2589" s="22"/>
      <c r="D2589" s="29"/>
    </row>
    <row r="2590" spans="2:4" x14ac:dyDescent="0.25">
      <c r="B2590" s="22"/>
      <c r="C2590" s="22"/>
      <c r="D2590" s="29"/>
    </row>
    <row r="2591" spans="2:4" x14ac:dyDescent="0.25">
      <c r="B2591" s="22"/>
      <c r="C2591" s="22"/>
      <c r="D2591" s="29"/>
    </row>
    <row r="2592" spans="2:4" x14ac:dyDescent="0.25">
      <c r="B2592" s="22"/>
      <c r="C2592" s="22"/>
      <c r="D2592" s="29"/>
    </row>
    <row r="2593" spans="2:4" x14ac:dyDescent="0.25">
      <c r="B2593" s="22"/>
      <c r="C2593" s="22"/>
      <c r="D2593" s="29"/>
    </row>
    <row r="2594" spans="2:4" x14ac:dyDescent="0.25">
      <c r="B2594" s="22"/>
      <c r="C2594" s="22"/>
      <c r="D2594" s="29"/>
    </row>
    <row r="2595" spans="2:4" x14ac:dyDescent="0.25">
      <c r="B2595" s="22"/>
      <c r="C2595" s="22"/>
      <c r="D2595" s="29"/>
    </row>
    <row r="2596" spans="2:4" x14ac:dyDescent="0.25">
      <c r="B2596" s="22"/>
      <c r="C2596" s="22"/>
      <c r="D2596" s="29"/>
    </row>
    <row r="2597" spans="2:4" x14ac:dyDescent="0.25">
      <c r="B2597" s="22"/>
      <c r="C2597" s="22"/>
      <c r="D2597" s="29"/>
    </row>
    <row r="2598" spans="2:4" x14ac:dyDescent="0.25">
      <c r="B2598" s="22"/>
      <c r="C2598" s="22"/>
      <c r="D2598" s="29"/>
    </row>
    <row r="2599" spans="2:4" x14ac:dyDescent="0.25">
      <c r="B2599" s="22"/>
      <c r="C2599" s="22"/>
      <c r="D2599" s="29"/>
    </row>
    <row r="2600" spans="2:4" x14ac:dyDescent="0.25">
      <c r="B2600" s="22"/>
      <c r="C2600" s="22"/>
      <c r="D2600" s="29"/>
    </row>
    <row r="2601" spans="2:4" x14ac:dyDescent="0.25">
      <c r="B2601" s="22"/>
      <c r="C2601" s="22"/>
      <c r="D2601" s="29"/>
    </row>
    <row r="2602" spans="2:4" x14ac:dyDescent="0.25">
      <c r="B2602" s="22"/>
      <c r="C2602" s="22"/>
      <c r="D2602" s="29"/>
    </row>
    <row r="2603" spans="2:4" x14ac:dyDescent="0.25">
      <c r="B2603" s="22"/>
      <c r="C2603" s="22"/>
      <c r="D2603" s="29"/>
    </row>
    <row r="2604" spans="2:4" x14ac:dyDescent="0.25">
      <c r="B2604" s="22"/>
      <c r="C2604" s="22"/>
      <c r="D2604" s="29"/>
    </row>
    <row r="2605" spans="2:4" x14ac:dyDescent="0.25">
      <c r="B2605" s="22"/>
      <c r="C2605" s="22"/>
      <c r="D2605" s="29"/>
    </row>
    <row r="2606" spans="2:4" x14ac:dyDescent="0.25">
      <c r="B2606" s="22"/>
      <c r="C2606" s="22"/>
      <c r="D2606" s="29"/>
    </row>
    <row r="2607" spans="2:4" x14ac:dyDescent="0.25">
      <c r="B2607" s="22"/>
      <c r="C2607" s="22"/>
      <c r="D2607" s="29"/>
    </row>
    <row r="2608" spans="2:4" x14ac:dyDescent="0.25">
      <c r="B2608" s="22"/>
      <c r="C2608" s="22"/>
      <c r="D2608" s="29"/>
    </row>
    <row r="2609" spans="2:4" x14ac:dyDescent="0.25">
      <c r="B2609" s="22"/>
      <c r="C2609" s="22"/>
      <c r="D2609" s="29"/>
    </row>
    <row r="2610" spans="2:4" x14ac:dyDescent="0.25">
      <c r="B2610" s="22"/>
      <c r="C2610" s="22"/>
      <c r="D2610" s="29"/>
    </row>
    <row r="2611" spans="2:4" x14ac:dyDescent="0.25">
      <c r="B2611" s="22"/>
      <c r="C2611" s="22"/>
      <c r="D2611" s="29"/>
    </row>
    <row r="2612" spans="2:4" x14ac:dyDescent="0.25">
      <c r="B2612" s="22"/>
      <c r="C2612" s="22"/>
      <c r="D2612" s="29"/>
    </row>
    <row r="2613" spans="2:4" x14ac:dyDescent="0.25">
      <c r="B2613" s="22"/>
      <c r="C2613" s="22"/>
      <c r="D2613" s="29"/>
    </row>
    <row r="2614" spans="2:4" x14ac:dyDescent="0.25">
      <c r="B2614" s="22"/>
      <c r="C2614" s="22"/>
      <c r="D2614" s="29"/>
    </row>
    <row r="2615" spans="2:4" x14ac:dyDescent="0.25">
      <c r="B2615" s="22"/>
      <c r="C2615" s="22"/>
      <c r="D2615" s="29"/>
    </row>
    <row r="2616" spans="2:4" x14ac:dyDescent="0.25">
      <c r="B2616" s="22"/>
      <c r="C2616" s="22"/>
      <c r="D2616" s="29"/>
    </row>
    <row r="2617" spans="2:4" x14ac:dyDescent="0.25">
      <c r="B2617" s="22"/>
      <c r="C2617" s="22"/>
      <c r="D2617" s="29"/>
    </row>
    <row r="2618" spans="2:4" x14ac:dyDescent="0.25">
      <c r="B2618" s="22"/>
      <c r="C2618" s="22"/>
      <c r="D2618" s="29"/>
    </row>
    <row r="2619" spans="2:4" x14ac:dyDescent="0.25">
      <c r="B2619" s="22"/>
      <c r="C2619" s="22"/>
      <c r="D2619" s="29"/>
    </row>
    <row r="2620" spans="2:4" x14ac:dyDescent="0.25">
      <c r="B2620" s="22"/>
      <c r="C2620" s="22"/>
      <c r="D2620" s="29"/>
    </row>
    <row r="2621" spans="2:4" x14ac:dyDescent="0.25">
      <c r="B2621" s="22"/>
      <c r="C2621" s="22"/>
      <c r="D2621" s="29"/>
    </row>
    <row r="2622" spans="2:4" x14ac:dyDescent="0.25">
      <c r="B2622" s="22"/>
      <c r="C2622" s="22"/>
      <c r="D2622" s="29"/>
    </row>
    <row r="2623" spans="2:4" x14ac:dyDescent="0.25">
      <c r="B2623" s="22"/>
      <c r="C2623" s="22"/>
      <c r="D2623" s="29"/>
    </row>
    <row r="2624" spans="2:4" x14ac:dyDescent="0.25">
      <c r="B2624" s="22"/>
      <c r="C2624" s="22"/>
      <c r="D2624" s="29"/>
    </row>
    <row r="2625" spans="2:4" x14ac:dyDescent="0.25">
      <c r="B2625" s="22"/>
      <c r="C2625" s="22"/>
      <c r="D2625" s="29"/>
    </row>
    <row r="2626" spans="2:4" x14ac:dyDescent="0.25">
      <c r="B2626" s="22"/>
      <c r="C2626" s="22"/>
      <c r="D2626" s="29"/>
    </row>
    <row r="2627" spans="2:4" x14ac:dyDescent="0.25">
      <c r="B2627" s="22"/>
      <c r="C2627" s="22"/>
      <c r="D2627" s="29"/>
    </row>
    <row r="2628" spans="2:4" x14ac:dyDescent="0.25">
      <c r="B2628" s="22"/>
      <c r="C2628" s="22"/>
      <c r="D2628" s="29"/>
    </row>
    <row r="2629" spans="2:4" x14ac:dyDescent="0.25">
      <c r="B2629" s="22"/>
      <c r="C2629" s="22"/>
      <c r="D2629" s="29"/>
    </row>
    <row r="2630" spans="2:4" x14ac:dyDescent="0.25">
      <c r="B2630" s="22"/>
      <c r="C2630" s="22"/>
      <c r="D2630" s="29"/>
    </row>
    <row r="2631" spans="2:4" x14ac:dyDescent="0.25">
      <c r="B2631" s="22"/>
      <c r="C2631" s="22"/>
      <c r="D2631" s="29"/>
    </row>
    <row r="2632" spans="2:4" x14ac:dyDescent="0.25">
      <c r="B2632" s="22"/>
      <c r="C2632" s="22"/>
      <c r="D2632" s="29"/>
    </row>
    <row r="2633" spans="2:4" x14ac:dyDescent="0.25">
      <c r="B2633" s="22"/>
      <c r="C2633" s="22"/>
      <c r="D2633" s="29"/>
    </row>
    <row r="2634" spans="2:4" x14ac:dyDescent="0.25">
      <c r="B2634" s="22"/>
      <c r="C2634" s="22"/>
      <c r="D2634" s="29"/>
    </row>
    <row r="2635" spans="2:4" x14ac:dyDescent="0.25">
      <c r="B2635" s="22"/>
      <c r="C2635" s="22"/>
      <c r="D2635" s="29"/>
    </row>
    <row r="2636" spans="2:4" x14ac:dyDescent="0.25">
      <c r="B2636" s="22"/>
      <c r="C2636" s="22"/>
      <c r="D2636" s="29"/>
    </row>
    <row r="2637" spans="2:4" x14ac:dyDescent="0.25">
      <c r="B2637" s="22"/>
      <c r="C2637" s="22"/>
      <c r="D2637" s="29"/>
    </row>
    <row r="2638" spans="2:4" x14ac:dyDescent="0.25">
      <c r="B2638" s="22"/>
      <c r="C2638" s="22"/>
      <c r="D2638" s="29"/>
    </row>
    <row r="2639" spans="2:4" x14ac:dyDescent="0.25">
      <c r="B2639" s="22"/>
      <c r="C2639" s="22"/>
      <c r="D2639" s="29"/>
    </row>
    <row r="2640" spans="2:4" x14ac:dyDescent="0.25">
      <c r="B2640" s="22"/>
      <c r="C2640" s="22"/>
      <c r="D2640" s="29"/>
    </row>
    <row r="2641" spans="2:4" x14ac:dyDescent="0.25">
      <c r="B2641" s="22"/>
      <c r="C2641" s="22"/>
      <c r="D2641" s="29"/>
    </row>
    <row r="2642" spans="2:4" x14ac:dyDescent="0.25">
      <c r="B2642" s="22"/>
      <c r="C2642" s="22"/>
      <c r="D2642" s="29"/>
    </row>
    <row r="2643" spans="2:4" x14ac:dyDescent="0.25">
      <c r="B2643" s="22"/>
      <c r="C2643" s="22"/>
      <c r="D2643" s="29"/>
    </row>
    <row r="2644" spans="2:4" x14ac:dyDescent="0.25">
      <c r="B2644" s="22"/>
      <c r="C2644" s="22"/>
      <c r="D2644" s="29"/>
    </row>
    <row r="2645" spans="2:4" x14ac:dyDescent="0.25">
      <c r="B2645" s="22"/>
      <c r="C2645" s="22"/>
      <c r="D2645" s="29"/>
    </row>
    <row r="2646" spans="2:4" x14ac:dyDescent="0.25">
      <c r="B2646" s="22"/>
      <c r="C2646" s="22"/>
      <c r="D2646" s="29"/>
    </row>
    <row r="2647" spans="2:4" x14ac:dyDescent="0.25">
      <c r="B2647" s="22"/>
      <c r="C2647" s="22"/>
      <c r="D2647" s="29"/>
    </row>
    <row r="2648" spans="2:4" x14ac:dyDescent="0.25">
      <c r="B2648" s="22"/>
      <c r="C2648" s="22"/>
      <c r="D2648" s="29"/>
    </row>
    <row r="2649" spans="2:4" x14ac:dyDescent="0.25">
      <c r="B2649" s="22"/>
      <c r="C2649" s="22"/>
      <c r="D2649" s="29"/>
    </row>
    <row r="2650" spans="2:4" x14ac:dyDescent="0.25">
      <c r="B2650" s="22"/>
      <c r="C2650" s="22"/>
      <c r="D2650" s="29"/>
    </row>
    <row r="2651" spans="2:4" x14ac:dyDescent="0.25">
      <c r="B2651" s="22"/>
      <c r="C2651" s="22"/>
      <c r="D2651" s="29"/>
    </row>
    <row r="2652" spans="2:4" x14ac:dyDescent="0.25">
      <c r="B2652" s="22"/>
      <c r="C2652" s="22"/>
      <c r="D2652" s="29"/>
    </row>
    <row r="2653" spans="2:4" x14ac:dyDescent="0.25">
      <c r="B2653" s="22"/>
      <c r="C2653" s="22"/>
      <c r="D2653" s="29"/>
    </row>
    <row r="2654" spans="2:4" x14ac:dyDescent="0.25">
      <c r="B2654" s="22"/>
      <c r="C2654" s="22"/>
      <c r="D2654" s="29"/>
    </row>
    <row r="2655" spans="2:4" x14ac:dyDescent="0.25">
      <c r="B2655" s="22"/>
      <c r="C2655" s="22"/>
      <c r="D2655" s="29"/>
    </row>
    <row r="2656" spans="2:4" x14ac:dyDescent="0.25">
      <c r="B2656" s="22"/>
      <c r="C2656" s="22"/>
      <c r="D2656" s="29"/>
    </row>
    <row r="2657" spans="2:4" x14ac:dyDescent="0.25">
      <c r="B2657" s="22"/>
      <c r="C2657" s="22"/>
      <c r="D2657" s="29"/>
    </row>
    <row r="2658" spans="2:4" x14ac:dyDescent="0.25">
      <c r="B2658" s="22"/>
      <c r="C2658" s="22"/>
      <c r="D2658" s="29"/>
    </row>
    <row r="2659" spans="2:4" x14ac:dyDescent="0.25">
      <c r="B2659" s="22"/>
      <c r="C2659" s="22"/>
      <c r="D2659" s="29"/>
    </row>
    <row r="2660" spans="2:4" x14ac:dyDescent="0.25">
      <c r="B2660" s="22"/>
      <c r="C2660" s="22"/>
      <c r="D2660" s="29"/>
    </row>
    <row r="2661" spans="2:4" x14ac:dyDescent="0.25">
      <c r="B2661" s="22"/>
      <c r="C2661" s="22"/>
      <c r="D2661" s="29"/>
    </row>
    <row r="2662" spans="2:4" x14ac:dyDescent="0.25">
      <c r="B2662" s="22"/>
      <c r="C2662" s="22"/>
      <c r="D2662" s="29"/>
    </row>
    <row r="2663" spans="2:4" x14ac:dyDescent="0.25">
      <c r="B2663" s="22"/>
      <c r="C2663" s="22"/>
      <c r="D2663" s="29"/>
    </row>
    <row r="2664" spans="2:4" x14ac:dyDescent="0.25">
      <c r="B2664" s="22"/>
      <c r="C2664" s="22"/>
      <c r="D2664" s="29"/>
    </row>
    <row r="2665" spans="2:4" x14ac:dyDescent="0.25">
      <c r="B2665" s="22"/>
      <c r="C2665" s="22"/>
      <c r="D2665" s="29"/>
    </row>
    <row r="2666" spans="2:4" x14ac:dyDescent="0.25">
      <c r="B2666" s="22"/>
      <c r="C2666" s="22"/>
      <c r="D2666" s="29"/>
    </row>
    <row r="2667" spans="2:4" x14ac:dyDescent="0.25">
      <c r="B2667" s="22"/>
      <c r="C2667" s="22"/>
      <c r="D2667" s="29"/>
    </row>
    <row r="2668" spans="2:4" x14ac:dyDescent="0.25">
      <c r="B2668" s="22"/>
      <c r="C2668" s="22"/>
      <c r="D2668" s="29"/>
    </row>
    <row r="2669" spans="2:4" x14ac:dyDescent="0.25">
      <c r="B2669" s="22"/>
      <c r="C2669" s="22"/>
      <c r="D2669" s="29"/>
    </row>
    <row r="2670" spans="2:4" x14ac:dyDescent="0.25">
      <c r="B2670" s="22"/>
      <c r="C2670" s="22"/>
      <c r="D2670" s="29"/>
    </row>
    <row r="2671" spans="2:4" x14ac:dyDescent="0.25">
      <c r="B2671" s="22"/>
      <c r="C2671" s="22"/>
      <c r="D2671" s="29"/>
    </row>
    <row r="2672" spans="2:4" x14ac:dyDescent="0.25">
      <c r="B2672" s="22"/>
      <c r="C2672" s="22"/>
      <c r="D2672" s="29"/>
    </row>
    <row r="2673" spans="2:4" x14ac:dyDescent="0.25">
      <c r="B2673" s="22"/>
      <c r="C2673" s="22"/>
      <c r="D2673" s="29"/>
    </row>
    <row r="2674" spans="2:4" x14ac:dyDescent="0.25">
      <c r="B2674" s="22"/>
      <c r="C2674" s="22"/>
      <c r="D2674" s="29"/>
    </row>
    <row r="2675" spans="2:4" x14ac:dyDescent="0.25">
      <c r="B2675" s="22"/>
      <c r="C2675" s="22"/>
      <c r="D2675" s="29"/>
    </row>
    <row r="2676" spans="2:4" x14ac:dyDescent="0.25">
      <c r="B2676" s="22"/>
      <c r="C2676" s="22"/>
      <c r="D2676" s="29"/>
    </row>
    <row r="2677" spans="2:4" x14ac:dyDescent="0.25">
      <c r="B2677" s="22"/>
      <c r="C2677" s="22"/>
      <c r="D2677" s="29"/>
    </row>
    <row r="2678" spans="2:4" x14ac:dyDescent="0.25">
      <c r="B2678" s="22"/>
      <c r="C2678" s="22"/>
      <c r="D2678" s="29"/>
    </row>
    <row r="2679" spans="2:4" x14ac:dyDescent="0.25">
      <c r="B2679" s="22"/>
      <c r="C2679" s="22"/>
      <c r="D2679" s="29"/>
    </row>
    <row r="2680" spans="2:4" x14ac:dyDescent="0.25">
      <c r="B2680" s="22"/>
      <c r="C2680" s="22"/>
      <c r="D2680" s="29"/>
    </row>
    <row r="2681" spans="2:4" x14ac:dyDescent="0.25">
      <c r="B2681" s="22"/>
      <c r="C2681" s="22"/>
      <c r="D2681" s="29"/>
    </row>
    <row r="2682" spans="2:4" x14ac:dyDescent="0.25">
      <c r="B2682" s="22"/>
      <c r="C2682" s="22"/>
      <c r="D2682" s="29"/>
    </row>
    <row r="2683" spans="2:4" x14ac:dyDescent="0.25">
      <c r="B2683" s="22"/>
      <c r="C2683" s="22"/>
      <c r="D2683" s="29"/>
    </row>
    <row r="2684" spans="2:4" x14ac:dyDescent="0.25">
      <c r="B2684" s="22"/>
      <c r="C2684" s="22"/>
      <c r="D2684" s="29"/>
    </row>
    <row r="2685" spans="2:4" x14ac:dyDescent="0.25">
      <c r="B2685" s="22"/>
      <c r="C2685" s="22"/>
      <c r="D2685" s="29"/>
    </row>
    <row r="2686" spans="2:4" x14ac:dyDescent="0.25">
      <c r="B2686" s="22"/>
      <c r="C2686" s="22"/>
      <c r="D2686" s="29"/>
    </row>
    <row r="2687" spans="2:4" x14ac:dyDescent="0.25">
      <c r="B2687" s="22"/>
      <c r="C2687" s="22"/>
      <c r="D2687" s="29"/>
    </row>
    <row r="2688" spans="2:4" x14ac:dyDescent="0.25">
      <c r="B2688" s="22"/>
      <c r="C2688" s="22"/>
      <c r="D2688" s="29"/>
    </row>
    <row r="2689" spans="2:4" x14ac:dyDescent="0.25">
      <c r="B2689" s="22"/>
      <c r="C2689" s="22"/>
      <c r="D2689" s="29"/>
    </row>
    <row r="2690" spans="2:4" x14ac:dyDescent="0.25">
      <c r="B2690" s="22"/>
      <c r="C2690" s="22"/>
      <c r="D2690" s="29"/>
    </row>
    <row r="2691" spans="2:4" x14ac:dyDescent="0.25">
      <c r="B2691" s="22"/>
      <c r="C2691" s="22"/>
      <c r="D2691" s="29"/>
    </row>
    <row r="2692" spans="2:4" x14ac:dyDescent="0.25">
      <c r="B2692" s="22"/>
      <c r="C2692" s="22"/>
      <c r="D2692" s="29"/>
    </row>
    <row r="2693" spans="2:4" x14ac:dyDescent="0.25">
      <c r="B2693" s="22"/>
      <c r="C2693" s="22"/>
      <c r="D2693" s="29"/>
    </row>
    <row r="2694" spans="2:4" x14ac:dyDescent="0.25">
      <c r="B2694" s="22"/>
      <c r="C2694" s="22"/>
      <c r="D2694" s="29"/>
    </row>
    <row r="2695" spans="2:4" x14ac:dyDescent="0.25">
      <c r="B2695" s="22"/>
      <c r="C2695" s="22"/>
      <c r="D2695" s="29"/>
    </row>
    <row r="2696" spans="2:4" x14ac:dyDescent="0.25">
      <c r="B2696" s="22"/>
      <c r="C2696" s="22"/>
      <c r="D2696" s="29"/>
    </row>
    <row r="2697" spans="2:4" x14ac:dyDescent="0.25">
      <c r="B2697" s="22"/>
      <c r="C2697" s="22"/>
      <c r="D2697" s="29"/>
    </row>
    <row r="2698" spans="2:4" x14ac:dyDescent="0.25">
      <c r="B2698" s="22"/>
      <c r="C2698" s="22"/>
      <c r="D2698" s="29"/>
    </row>
    <row r="2699" spans="2:4" x14ac:dyDescent="0.25">
      <c r="B2699" s="22"/>
      <c r="C2699" s="22"/>
      <c r="D2699" s="29"/>
    </row>
    <row r="2700" spans="2:4" x14ac:dyDescent="0.25">
      <c r="B2700" s="22"/>
      <c r="C2700" s="22"/>
      <c r="D2700" s="29"/>
    </row>
    <row r="2701" spans="2:4" x14ac:dyDescent="0.25">
      <c r="B2701" s="22"/>
      <c r="C2701" s="22"/>
      <c r="D2701" s="29"/>
    </row>
    <row r="2702" spans="2:4" x14ac:dyDescent="0.25">
      <c r="B2702" s="22"/>
      <c r="C2702" s="22"/>
      <c r="D2702" s="29"/>
    </row>
    <row r="2703" spans="2:4" x14ac:dyDescent="0.25">
      <c r="B2703" s="22"/>
      <c r="C2703" s="22"/>
      <c r="D2703" s="29"/>
    </row>
    <row r="2704" spans="2:4" x14ac:dyDescent="0.25">
      <c r="B2704" s="22"/>
      <c r="C2704" s="22"/>
      <c r="D2704" s="29"/>
    </row>
    <row r="2705" spans="2:4" x14ac:dyDescent="0.25">
      <c r="B2705" s="22"/>
      <c r="C2705" s="22"/>
      <c r="D2705" s="29"/>
    </row>
    <row r="2706" spans="2:4" x14ac:dyDescent="0.25">
      <c r="B2706" s="22"/>
      <c r="C2706" s="22"/>
      <c r="D2706" s="29"/>
    </row>
    <row r="2707" spans="2:4" x14ac:dyDescent="0.25">
      <c r="B2707" s="22"/>
      <c r="C2707" s="22"/>
      <c r="D2707" s="29"/>
    </row>
    <row r="2708" spans="2:4" x14ac:dyDescent="0.25">
      <c r="B2708" s="22"/>
      <c r="C2708" s="22"/>
      <c r="D2708" s="29"/>
    </row>
    <row r="2709" spans="2:4" x14ac:dyDescent="0.25">
      <c r="B2709" s="22"/>
      <c r="C2709" s="22"/>
      <c r="D2709" s="29"/>
    </row>
    <row r="2710" spans="2:4" x14ac:dyDescent="0.25">
      <c r="B2710" s="22"/>
      <c r="C2710" s="22"/>
      <c r="D2710" s="29"/>
    </row>
    <row r="2711" spans="2:4" x14ac:dyDescent="0.25">
      <c r="B2711" s="22"/>
      <c r="C2711" s="22"/>
      <c r="D2711" s="29"/>
    </row>
    <row r="2712" spans="2:4" x14ac:dyDescent="0.25">
      <c r="B2712" s="22"/>
      <c r="C2712" s="22"/>
      <c r="D2712" s="29"/>
    </row>
    <row r="2713" spans="2:4" x14ac:dyDescent="0.25">
      <c r="B2713" s="22"/>
      <c r="C2713" s="22"/>
      <c r="D2713" s="29"/>
    </row>
    <row r="2714" spans="2:4" x14ac:dyDescent="0.25">
      <c r="B2714" s="22"/>
      <c r="C2714" s="22"/>
      <c r="D2714" s="29"/>
    </row>
    <row r="2715" spans="2:4" x14ac:dyDescent="0.25">
      <c r="B2715" s="22"/>
      <c r="C2715" s="22"/>
      <c r="D2715" s="29"/>
    </row>
    <row r="2716" spans="2:4" x14ac:dyDescent="0.25">
      <c r="B2716" s="22"/>
      <c r="C2716" s="22"/>
      <c r="D2716" s="29"/>
    </row>
    <row r="2717" spans="2:4" x14ac:dyDescent="0.25">
      <c r="B2717" s="22"/>
      <c r="C2717" s="22"/>
      <c r="D2717" s="29"/>
    </row>
    <row r="2718" spans="2:4" x14ac:dyDescent="0.25">
      <c r="B2718" s="22"/>
      <c r="C2718" s="22"/>
      <c r="D2718" s="29"/>
    </row>
    <row r="2719" spans="2:4" x14ac:dyDescent="0.25">
      <c r="B2719" s="22"/>
      <c r="C2719" s="22"/>
      <c r="D2719" s="29"/>
    </row>
    <row r="2720" spans="2:4" x14ac:dyDescent="0.25">
      <c r="B2720" s="22"/>
      <c r="C2720" s="22"/>
      <c r="D2720" s="29"/>
    </row>
    <row r="2721" spans="2:4" x14ac:dyDescent="0.25">
      <c r="B2721" s="22"/>
      <c r="C2721" s="22"/>
      <c r="D2721" s="29"/>
    </row>
    <row r="2722" spans="2:4" x14ac:dyDescent="0.25">
      <c r="B2722" s="22"/>
      <c r="C2722" s="22"/>
      <c r="D2722" s="29"/>
    </row>
    <row r="2723" spans="2:4" x14ac:dyDescent="0.25">
      <c r="B2723" s="22"/>
      <c r="C2723" s="22"/>
      <c r="D2723" s="29"/>
    </row>
    <row r="2724" spans="2:4" x14ac:dyDescent="0.25">
      <c r="B2724" s="22"/>
      <c r="C2724" s="22"/>
      <c r="D2724" s="29"/>
    </row>
    <row r="2725" spans="2:4" x14ac:dyDescent="0.25">
      <c r="B2725" s="22"/>
      <c r="C2725" s="22"/>
      <c r="D2725" s="29"/>
    </row>
    <row r="2726" spans="2:4" x14ac:dyDescent="0.25">
      <c r="B2726" s="22"/>
      <c r="C2726" s="22"/>
      <c r="D2726" s="29"/>
    </row>
    <row r="2727" spans="2:4" x14ac:dyDescent="0.25">
      <c r="B2727" s="22"/>
      <c r="C2727" s="22"/>
      <c r="D2727" s="29"/>
    </row>
    <row r="2728" spans="2:4" x14ac:dyDescent="0.25">
      <c r="B2728" s="22"/>
      <c r="C2728" s="22"/>
      <c r="D2728" s="29"/>
    </row>
    <row r="2729" spans="2:4" x14ac:dyDescent="0.25">
      <c r="B2729" s="22"/>
      <c r="C2729" s="22"/>
      <c r="D2729" s="29"/>
    </row>
    <row r="2730" spans="2:4" x14ac:dyDescent="0.25">
      <c r="B2730" s="22"/>
      <c r="C2730" s="22"/>
      <c r="D2730" s="29"/>
    </row>
    <row r="2731" spans="2:4" x14ac:dyDescent="0.25">
      <c r="B2731" s="22"/>
      <c r="C2731" s="22"/>
      <c r="D2731" s="29"/>
    </row>
    <row r="2732" spans="2:4" x14ac:dyDescent="0.25">
      <c r="B2732" s="22"/>
      <c r="C2732" s="22"/>
      <c r="D2732" s="29"/>
    </row>
    <row r="2733" spans="2:4" x14ac:dyDescent="0.25">
      <c r="B2733" s="22"/>
      <c r="C2733" s="22"/>
      <c r="D2733" s="29"/>
    </row>
    <row r="2734" spans="2:4" x14ac:dyDescent="0.25">
      <c r="B2734" s="22"/>
      <c r="C2734" s="22"/>
      <c r="D2734" s="29"/>
    </row>
    <row r="2735" spans="2:4" x14ac:dyDescent="0.25">
      <c r="B2735" s="22"/>
      <c r="C2735" s="22"/>
      <c r="D2735" s="29"/>
    </row>
    <row r="2736" spans="2:4" x14ac:dyDescent="0.25">
      <c r="B2736" s="22"/>
      <c r="C2736" s="22"/>
      <c r="D2736" s="29"/>
    </row>
    <row r="2737" spans="2:4" x14ac:dyDescent="0.25">
      <c r="B2737" s="22"/>
      <c r="C2737" s="22"/>
      <c r="D2737" s="29"/>
    </row>
    <row r="2738" spans="2:4" x14ac:dyDescent="0.25">
      <c r="B2738" s="22"/>
      <c r="C2738" s="22"/>
      <c r="D2738" s="29"/>
    </row>
    <row r="2739" spans="2:4" x14ac:dyDescent="0.25">
      <c r="B2739" s="22"/>
      <c r="C2739" s="22"/>
      <c r="D2739" s="29"/>
    </row>
    <row r="2740" spans="2:4" x14ac:dyDescent="0.25">
      <c r="B2740" s="22"/>
      <c r="C2740" s="22"/>
      <c r="D2740" s="29"/>
    </row>
    <row r="2741" spans="2:4" x14ac:dyDescent="0.25">
      <c r="B2741" s="22"/>
      <c r="C2741" s="22"/>
      <c r="D2741" s="29"/>
    </row>
    <row r="2742" spans="2:4" x14ac:dyDescent="0.25">
      <c r="B2742" s="22"/>
      <c r="C2742" s="22"/>
      <c r="D2742" s="29"/>
    </row>
    <row r="2743" spans="2:4" x14ac:dyDescent="0.25">
      <c r="B2743" s="22"/>
      <c r="C2743" s="22"/>
      <c r="D2743" s="29"/>
    </row>
    <row r="2744" spans="2:4" x14ac:dyDescent="0.25">
      <c r="B2744" s="22"/>
      <c r="C2744" s="22"/>
      <c r="D2744" s="29"/>
    </row>
    <row r="2745" spans="2:4" x14ac:dyDescent="0.25">
      <c r="B2745" s="22"/>
      <c r="C2745" s="22"/>
      <c r="D2745" s="29"/>
    </row>
    <row r="2746" spans="2:4" x14ac:dyDescent="0.25">
      <c r="B2746" s="22"/>
      <c r="C2746" s="22"/>
      <c r="D2746" s="29"/>
    </row>
    <row r="2747" spans="2:4" x14ac:dyDescent="0.25">
      <c r="B2747" s="22"/>
      <c r="C2747" s="22"/>
      <c r="D2747" s="29"/>
    </row>
    <row r="2748" spans="2:4" x14ac:dyDescent="0.25">
      <c r="B2748" s="22"/>
      <c r="C2748" s="22"/>
      <c r="D2748" s="29"/>
    </row>
    <row r="2749" spans="2:4" x14ac:dyDescent="0.25">
      <c r="B2749" s="22"/>
      <c r="C2749" s="22"/>
      <c r="D2749" s="29"/>
    </row>
    <row r="2750" spans="2:4" x14ac:dyDescent="0.25">
      <c r="B2750" s="22"/>
      <c r="C2750" s="22"/>
      <c r="D2750" s="29"/>
    </row>
    <row r="2751" spans="2:4" x14ac:dyDescent="0.25">
      <c r="B2751" s="22"/>
      <c r="C2751" s="22"/>
      <c r="D2751" s="29"/>
    </row>
    <row r="2752" spans="2:4" x14ac:dyDescent="0.25">
      <c r="B2752" s="22"/>
      <c r="C2752" s="22"/>
      <c r="D2752" s="29"/>
    </row>
    <row r="2753" spans="2:4" x14ac:dyDescent="0.25">
      <c r="B2753" s="22"/>
      <c r="C2753" s="22"/>
      <c r="D2753" s="29"/>
    </row>
    <row r="2754" spans="2:4" x14ac:dyDescent="0.25">
      <c r="B2754" s="22"/>
      <c r="C2754" s="22"/>
      <c r="D2754" s="29"/>
    </row>
    <row r="2755" spans="2:4" x14ac:dyDescent="0.25">
      <c r="B2755" s="22"/>
      <c r="C2755" s="22"/>
      <c r="D2755" s="29"/>
    </row>
    <row r="2756" spans="2:4" x14ac:dyDescent="0.25">
      <c r="B2756" s="22"/>
      <c r="C2756" s="22"/>
      <c r="D2756" s="29"/>
    </row>
    <row r="2757" spans="2:4" x14ac:dyDescent="0.25">
      <c r="B2757" s="22"/>
      <c r="C2757" s="22"/>
      <c r="D2757" s="29"/>
    </row>
    <row r="2758" spans="2:4" x14ac:dyDescent="0.25">
      <c r="B2758" s="22"/>
      <c r="C2758" s="22"/>
      <c r="D2758" s="29"/>
    </row>
    <row r="2759" spans="2:4" x14ac:dyDescent="0.25">
      <c r="B2759" s="22"/>
      <c r="C2759" s="22"/>
      <c r="D2759" s="29"/>
    </row>
    <row r="2760" spans="2:4" x14ac:dyDescent="0.25">
      <c r="B2760" s="22"/>
      <c r="C2760" s="22"/>
      <c r="D2760" s="29"/>
    </row>
    <row r="2761" spans="2:4" x14ac:dyDescent="0.25">
      <c r="B2761" s="22"/>
      <c r="C2761" s="22"/>
      <c r="D2761" s="29"/>
    </row>
    <row r="2762" spans="2:4" x14ac:dyDescent="0.25">
      <c r="B2762" s="22"/>
      <c r="C2762" s="22"/>
      <c r="D2762" s="29"/>
    </row>
    <row r="2763" spans="2:4" x14ac:dyDescent="0.25">
      <c r="B2763" s="22"/>
      <c r="C2763" s="22"/>
      <c r="D2763" s="29"/>
    </row>
    <row r="2764" spans="2:4" x14ac:dyDescent="0.25">
      <c r="B2764" s="22"/>
      <c r="C2764" s="22"/>
      <c r="D2764" s="29"/>
    </row>
    <row r="2765" spans="2:4" x14ac:dyDescent="0.25">
      <c r="B2765" s="22"/>
      <c r="C2765" s="22"/>
      <c r="D2765" s="29"/>
    </row>
    <row r="2766" spans="2:4" x14ac:dyDescent="0.25">
      <c r="B2766" s="22"/>
      <c r="C2766" s="22"/>
      <c r="D2766" s="29"/>
    </row>
    <row r="2767" spans="2:4" x14ac:dyDescent="0.25">
      <c r="B2767" s="22"/>
      <c r="C2767" s="22"/>
      <c r="D2767" s="29"/>
    </row>
    <row r="2768" spans="2:4" x14ac:dyDescent="0.25">
      <c r="B2768" s="22"/>
      <c r="C2768" s="22"/>
      <c r="D2768" s="29"/>
    </row>
    <row r="2769" spans="2:4" x14ac:dyDescent="0.25">
      <c r="B2769" s="22"/>
      <c r="C2769" s="22"/>
      <c r="D2769" s="29"/>
    </row>
    <row r="2770" spans="2:4" x14ac:dyDescent="0.25">
      <c r="B2770" s="22"/>
      <c r="C2770" s="22"/>
      <c r="D2770" s="29"/>
    </row>
    <row r="2771" spans="2:4" x14ac:dyDescent="0.25">
      <c r="B2771" s="22"/>
      <c r="C2771" s="22"/>
      <c r="D2771" s="29"/>
    </row>
    <row r="2772" spans="2:4" x14ac:dyDescent="0.25">
      <c r="B2772" s="22"/>
      <c r="C2772" s="22"/>
      <c r="D2772" s="29"/>
    </row>
    <row r="2773" spans="2:4" x14ac:dyDescent="0.25">
      <c r="B2773" s="22"/>
      <c r="C2773" s="22"/>
      <c r="D2773" s="29"/>
    </row>
    <row r="2774" spans="2:4" x14ac:dyDescent="0.25">
      <c r="B2774" s="22"/>
      <c r="C2774" s="22"/>
      <c r="D2774" s="29"/>
    </row>
    <row r="2775" spans="2:4" x14ac:dyDescent="0.25">
      <c r="B2775" s="22"/>
      <c r="C2775" s="22"/>
      <c r="D2775" s="29"/>
    </row>
    <row r="2776" spans="2:4" x14ac:dyDescent="0.25">
      <c r="B2776" s="22"/>
      <c r="C2776" s="22"/>
      <c r="D2776" s="29"/>
    </row>
    <row r="2777" spans="2:4" x14ac:dyDescent="0.25">
      <c r="B2777" s="22"/>
      <c r="C2777" s="22"/>
      <c r="D2777" s="29"/>
    </row>
    <row r="2778" spans="2:4" x14ac:dyDescent="0.25">
      <c r="B2778" s="22"/>
      <c r="C2778" s="22"/>
      <c r="D2778" s="29"/>
    </row>
    <row r="2779" spans="2:4" x14ac:dyDescent="0.25">
      <c r="B2779" s="22"/>
      <c r="C2779" s="22"/>
      <c r="D2779" s="29"/>
    </row>
    <row r="2780" spans="2:4" x14ac:dyDescent="0.25">
      <c r="B2780" s="22"/>
      <c r="C2780" s="22"/>
      <c r="D2780" s="29"/>
    </row>
    <row r="2781" spans="2:4" x14ac:dyDescent="0.25">
      <c r="B2781" s="22"/>
      <c r="C2781" s="22"/>
      <c r="D2781" s="29"/>
    </row>
    <row r="2782" spans="2:4" x14ac:dyDescent="0.25">
      <c r="B2782" s="22"/>
      <c r="C2782" s="22"/>
      <c r="D2782" s="29"/>
    </row>
    <row r="2783" spans="2:4" x14ac:dyDescent="0.25">
      <c r="B2783" s="22"/>
      <c r="C2783" s="22"/>
      <c r="D2783" s="29"/>
    </row>
    <row r="2784" spans="2:4" x14ac:dyDescent="0.25">
      <c r="B2784" s="22"/>
      <c r="C2784" s="22"/>
      <c r="D2784" s="29"/>
    </row>
    <row r="2785" spans="2:4" x14ac:dyDescent="0.25">
      <c r="B2785" s="22"/>
      <c r="C2785" s="22"/>
      <c r="D2785" s="29"/>
    </row>
    <row r="2786" spans="2:4" x14ac:dyDescent="0.25">
      <c r="B2786" s="22"/>
      <c r="C2786" s="22"/>
      <c r="D2786" s="29"/>
    </row>
    <row r="2787" spans="2:4" x14ac:dyDescent="0.25">
      <c r="B2787" s="22"/>
      <c r="C2787" s="22"/>
      <c r="D2787" s="29"/>
    </row>
    <row r="2788" spans="2:4" x14ac:dyDescent="0.25">
      <c r="B2788" s="22"/>
      <c r="C2788" s="22"/>
      <c r="D2788" s="29"/>
    </row>
    <row r="2789" spans="2:4" x14ac:dyDescent="0.25">
      <c r="B2789" s="22"/>
      <c r="C2789" s="22"/>
      <c r="D2789" s="29"/>
    </row>
    <row r="2790" spans="2:4" x14ac:dyDescent="0.25">
      <c r="B2790" s="22"/>
      <c r="C2790" s="22"/>
      <c r="D2790" s="29"/>
    </row>
    <row r="2791" spans="2:4" x14ac:dyDescent="0.25">
      <c r="B2791" s="22"/>
      <c r="C2791" s="22"/>
      <c r="D2791" s="29"/>
    </row>
    <row r="2792" spans="2:4" x14ac:dyDescent="0.25">
      <c r="B2792" s="22"/>
      <c r="C2792" s="22"/>
      <c r="D2792" s="29"/>
    </row>
    <row r="2793" spans="2:4" x14ac:dyDescent="0.25">
      <c r="B2793" s="22"/>
      <c r="C2793" s="22"/>
      <c r="D2793" s="29"/>
    </row>
    <row r="2794" spans="2:4" x14ac:dyDescent="0.25">
      <c r="B2794" s="22"/>
      <c r="C2794" s="22"/>
      <c r="D2794" s="29"/>
    </row>
    <row r="2795" spans="2:4" x14ac:dyDescent="0.25">
      <c r="B2795" s="22"/>
      <c r="C2795" s="22"/>
      <c r="D2795" s="29"/>
    </row>
    <row r="2796" spans="2:4" x14ac:dyDescent="0.25">
      <c r="B2796" s="22"/>
      <c r="C2796" s="22"/>
      <c r="D2796" s="29"/>
    </row>
    <row r="2797" spans="2:4" x14ac:dyDescent="0.25">
      <c r="B2797" s="22"/>
      <c r="C2797" s="22"/>
      <c r="D2797" s="29"/>
    </row>
    <row r="2798" spans="2:4" x14ac:dyDescent="0.25">
      <c r="B2798" s="22"/>
      <c r="C2798" s="22"/>
      <c r="D2798" s="29"/>
    </row>
    <row r="2799" spans="2:4" x14ac:dyDescent="0.25">
      <c r="B2799" s="22"/>
      <c r="C2799" s="22"/>
      <c r="D2799" s="29"/>
    </row>
    <row r="2800" spans="2:4" x14ac:dyDescent="0.25">
      <c r="B2800" s="22"/>
      <c r="C2800" s="22"/>
      <c r="D2800" s="29"/>
    </row>
    <row r="2801" spans="2:4" x14ac:dyDescent="0.25">
      <c r="B2801" s="22"/>
      <c r="C2801" s="22"/>
      <c r="D2801" s="29"/>
    </row>
    <row r="2802" spans="2:4" x14ac:dyDescent="0.25">
      <c r="B2802" s="22"/>
      <c r="C2802" s="22"/>
      <c r="D2802" s="29"/>
    </row>
    <row r="2803" spans="2:4" x14ac:dyDescent="0.25">
      <c r="B2803" s="22"/>
      <c r="C2803" s="22"/>
      <c r="D2803" s="29"/>
    </row>
    <row r="2804" spans="2:4" x14ac:dyDescent="0.25">
      <c r="B2804" s="22"/>
      <c r="C2804" s="22"/>
      <c r="D2804" s="29"/>
    </row>
    <row r="2805" spans="2:4" x14ac:dyDescent="0.25">
      <c r="B2805" s="22"/>
      <c r="C2805" s="22"/>
      <c r="D2805" s="29"/>
    </row>
    <row r="2806" spans="2:4" x14ac:dyDescent="0.25">
      <c r="B2806" s="22"/>
      <c r="C2806" s="22"/>
      <c r="D2806" s="29"/>
    </row>
    <row r="2807" spans="2:4" x14ac:dyDescent="0.25">
      <c r="B2807" s="22"/>
      <c r="C2807" s="22"/>
      <c r="D2807" s="29"/>
    </row>
    <row r="2808" spans="2:4" x14ac:dyDescent="0.25">
      <c r="B2808" s="22"/>
      <c r="C2808" s="22"/>
      <c r="D2808" s="29"/>
    </row>
    <row r="2809" spans="2:4" x14ac:dyDescent="0.25">
      <c r="B2809" s="22"/>
      <c r="C2809" s="22"/>
      <c r="D2809" s="29"/>
    </row>
    <row r="2810" spans="2:4" x14ac:dyDescent="0.25">
      <c r="B2810" s="22"/>
      <c r="C2810" s="22"/>
      <c r="D2810" s="29"/>
    </row>
    <row r="2811" spans="2:4" x14ac:dyDescent="0.25">
      <c r="B2811" s="22"/>
      <c r="C2811" s="22"/>
      <c r="D2811" s="29"/>
    </row>
    <row r="2812" spans="2:4" x14ac:dyDescent="0.25">
      <c r="B2812" s="22"/>
      <c r="C2812" s="22"/>
      <c r="D2812" s="29"/>
    </row>
    <row r="2813" spans="2:4" x14ac:dyDescent="0.25">
      <c r="B2813" s="22"/>
      <c r="C2813" s="22"/>
      <c r="D2813" s="29"/>
    </row>
    <row r="2814" spans="2:4" x14ac:dyDescent="0.25">
      <c r="B2814" s="22"/>
      <c r="C2814" s="22"/>
      <c r="D2814" s="29"/>
    </row>
    <row r="2815" spans="2:4" x14ac:dyDescent="0.25">
      <c r="B2815" s="22"/>
      <c r="C2815" s="22"/>
      <c r="D2815" s="29"/>
    </row>
    <row r="2816" spans="2:4" x14ac:dyDescent="0.25">
      <c r="B2816" s="22"/>
      <c r="C2816" s="22"/>
      <c r="D2816" s="29"/>
    </row>
    <row r="2817" spans="2:4" x14ac:dyDescent="0.25">
      <c r="B2817" s="22"/>
      <c r="C2817" s="22"/>
      <c r="D2817" s="29"/>
    </row>
    <row r="2818" spans="2:4" x14ac:dyDescent="0.25">
      <c r="B2818" s="22"/>
      <c r="C2818" s="22"/>
      <c r="D2818" s="29"/>
    </row>
    <row r="2819" spans="2:4" x14ac:dyDescent="0.25">
      <c r="B2819" s="22"/>
      <c r="C2819" s="22"/>
      <c r="D2819" s="29"/>
    </row>
    <row r="2820" spans="2:4" x14ac:dyDescent="0.25">
      <c r="B2820" s="22"/>
      <c r="C2820" s="22"/>
      <c r="D2820" s="29"/>
    </row>
    <row r="2821" spans="2:4" x14ac:dyDescent="0.25">
      <c r="B2821" s="22"/>
      <c r="C2821" s="22"/>
      <c r="D2821" s="29"/>
    </row>
    <row r="2822" spans="2:4" x14ac:dyDescent="0.25">
      <c r="B2822" s="22"/>
      <c r="C2822" s="22"/>
      <c r="D2822" s="29"/>
    </row>
    <row r="2823" spans="2:4" x14ac:dyDescent="0.25">
      <c r="B2823" s="22"/>
      <c r="C2823" s="22"/>
      <c r="D2823" s="29"/>
    </row>
    <row r="2824" spans="2:4" x14ac:dyDescent="0.25">
      <c r="B2824" s="22"/>
      <c r="C2824" s="22"/>
      <c r="D2824" s="29"/>
    </row>
    <row r="2825" spans="2:4" x14ac:dyDescent="0.25">
      <c r="B2825" s="22"/>
      <c r="C2825" s="22"/>
      <c r="D2825" s="29"/>
    </row>
    <row r="2826" spans="2:4" x14ac:dyDescent="0.25">
      <c r="B2826" s="22"/>
      <c r="C2826" s="22"/>
      <c r="D2826" s="29"/>
    </row>
    <row r="2827" spans="2:4" x14ac:dyDescent="0.25">
      <c r="B2827" s="22"/>
      <c r="C2827" s="22"/>
      <c r="D2827" s="29"/>
    </row>
    <row r="2828" spans="2:4" x14ac:dyDescent="0.25">
      <c r="B2828" s="22"/>
      <c r="C2828" s="22"/>
      <c r="D2828" s="29"/>
    </row>
    <row r="2829" spans="2:4" x14ac:dyDescent="0.25">
      <c r="B2829" s="22"/>
      <c r="C2829" s="22"/>
      <c r="D2829" s="29"/>
    </row>
    <row r="2830" spans="2:4" x14ac:dyDescent="0.25">
      <c r="B2830" s="22"/>
      <c r="C2830" s="22"/>
      <c r="D2830" s="29"/>
    </row>
    <row r="2831" spans="2:4" x14ac:dyDescent="0.25">
      <c r="B2831" s="22"/>
      <c r="C2831" s="22"/>
      <c r="D2831" s="29"/>
    </row>
    <row r="2832" spans="2:4" x14ac:dyDescent="0.25">
      <c r="B2832" s="22"/>
      <c r="C2832" s="22"/>
      <c r="D2832" s="29"/>
    </row>
    <row r="2833" spans="2:4" x14ac:dyDescent="0.25">
      <c r="B2833" s="22"/>
      <c r="C2833" s="22"/>
      <c r="D2833" s="29"/>
    </row>
    <row r="2834" spans="2:4" x14ac:dyDescent="0.25">
      <c r="B2834" s="22"/>
      <c r="C2834" s="22"/>
      <c r="D2834" s="29"/>
    </row>
    <row r="2835" spans="2:4" x14ac:dyDescent="0.25">
      <c r="B2835" s="22"/>
      <c r="C2835" s="22"/>
      <c r="D2835" s="29"/>
    </row>
    <row r="2836" spans="2:4" x14ac:dyDescent="0.25">
      <c r="B2836" s="22"/>
      <c r="C2836" s="22"/>
      <c r="D2836" s="29"/>
    </row>
    <row r="2837" spans="2:4" x14ac:dyDescent="0.25">
      <c r="B2837" s="22"/>
      <c r="C2837" s="22"/>
      <c r="D2837" s="29"/>
    </row>
    <row r="2838" spans="2:4" x14ac:dyDescent="0.25">
      <c r="B2838" s="22"/>
      <c r="C2838" s="22"/>
      <c r="D2838" s="29"/>
    </row>
    <row r="2839" spans="2:4" x14ac:dyDescent="0.25">
      <c r="B2839" s="22"/>
      <c r="C2839" s="22"/>
      <c r="D2839" s="29"/>
    </row>
    <row r="2840" spans="2:4" x14ac:dyDescent="0.25">
      <c r="B2840" s="22"/>
      <c r="C2840" s="22"/>
      <c r="D2840" s="29"/>
    </row>
    <row r="2841" spans="2:4" x14ac:dyDescent="0.25">
      <c r="B2841" s="22"/>
      <c r="C2841" s="22"/>
      <c r="D2841" s="29"/>
    </row>
    <row r="2842" spans="2:4" x14ac:dyDescent="0.25">
      <c r="B2842" s="22"/>
      <c r="C2842" s="22"/>
      <c r="D2842" s="29"/>
    </row>
    <row r="2843" spans="2:4" x14ac:dyDescent="0.25">
      <c r="B2843" s="22"/>
      <c r="C2843" s="22"/>
      <c r="D2843" s="29"/>
    </row>
    <row r="2844" spans="2:4" x14ac:dyDescent="0.25">
      <c r="B2844" s="22"/>
      <c r="C2844" s="22"/>
      <c r="D2844" s="29"/>
    </row>
    <row r="2845" spans="2:4" x14ac:dyDescent="0.25">
      <c r="B2845" s="22"/>
      <c r="C2845" s="22"/>
      <c r="D2845" s="29"/>
    </row>
    <row r="2846" spans="2:4" x14ac:dyDescent="0.25">
      <c r="B2846" s="22"/>
      <c r="C2846" s="22"/>
      <c r="D2846" s="29"/>
    </row>
    <row r="2847" spans="2:4" x14ac:dyDescent="0.25">
      <c r="B2847" s="22"/>
      <c r="C2847" s="22"/>
      <c r="D2847" s="29"/>
    </row>
    <row r="2848" spans="2:4" x14ac:dyDescent="0.25">
      <c r="B2848" s="22"/>
      <c r="C2848" s="22"/>
      <c r="D2848" s="29"/>
    </row>
    <row r="2849" spans="2:4" x14ac:dyDescent="0.25">
      <c r="B2849" s="22"/>
      <c r="C2849" s="22"/>
      <c r="D2849" s="29"/>
    </row>
    <row r="2850" spans="2:4" x14ac:dyDescent="0.25">
      <c r="B2850" s="22"/>
      <c r="C2850" s="22"/>
      <c r="D2850" s="29"/>
    </row>
    <row r="2851" spans="2:4" x14ac:dyDescent="0.25">
      <c r="B2851" s="22"/>
      <c r="C2851" s="22"/>
      <c r="D2851" s="29"/>
    </row>
    <row r="2852" spans="2:4" x14ac:dyDescent="0.25">
      <c r="B2852" s="22"/>
      <c r="C2852" s="22"/>
      <c r="D2852" s="29"/>
    </row>
    <row r="2853" spans="2:4" x14ac:dyDescent="0.25">
      <c r="B2853" s="22"/>
      <c r="C2853" s="22"/>
      <c r="D2853" s="29"/>
    </row>
    <row r="2854" spans="2:4" x14ac:dyDescent="0.25">
      <c r="B2854" s="22"/>
      <c r="C2854" s="22"/>
      <c r="D2854" s="29"/>
    </row>
    <row r="2855" spans="2:4" x14ac:dyDescent="0.25">
      <c r="B2855" s="22"/>
      <c r="C2855" s="22"/>
      <c r="D2855" s="29"/>
    </row>
    <row r="2856" spans="2:4" x14ac:dyDescent="0.25">
      <c r="B2856" s="22"/>
      <c r="C2856" s="22"/>
      <c r="D2856" s="29"/>
    </row>
    <row r="2857" spans="2:4" x14ac:dyDescent="0.25">
      <c r="B2857" s="22"/>
      <c r="C2857" s="22"/>
      <c r="D2857" s="29"/>
    </row>
    <row r="2858" spans="2:4" x14ac:dyDescent="0.25">
      <c r="B2858" s="22"/>
      <c r="C2858" s="22"/>
      <c r="D2858" s="29"/>
    </row>
    <row r="2859" spans="2:4" x14ac:dyDescent="0.25">
      <c r="B2859" s="22"/>
      <c r="C2859" s="22"/>
      <c r="D2859" s="22"/>
    </row>
    <row r="2860" spans="2:4" x14ac:dyDescent="0.25">
      <c r="B2860" s="22"/>
      <c r="C2860" s="22"/>
      <c r="D2860" s="22"/>
    </row>
    <row r="2861" spans="2:4" x14ac:dyDescent="0.25">
      <c r="B2861" s="22"/>
      <c r="C2861" s="22"/>
      <c r="D2861" s="22"/>
    </row>
    <row r="2862" spans="2:4" x14ac:dyDescent="0.25">
      <c r="B2862" s="22"/>
      <c r="C2862" s="22"/>
      <c r="D2862" s="22"/>
    </row>
    <row r="2863" spans="2:4" x14ac:dyDescent="0.25">
      <c r="B2863" s="22"/>
      <c r="C2863" s="22"/>
      <c r="D2863" s="22"/>
    </row>
    <row r="2864" spans="2:4" x14ac:dyDescent="0.25">
      <c r="B2864" s="22"/>
      <c r="C2864" s="22"/>
      <c r="D2864" s="22"/>
    </row>
    <row r="2865" spans="2:4" x14ac:dyDescent="0.25">
      <c r="B2865" s="22"/>
      <c r="C2865" s="22"/>
      <c r="D2865" s="22"/>
    </row>
    <row r="2866" spans="2:4" x14ac:dyDescent="0.25">
      <c r="B2866" s="22"/>
      <c r="C2866" s="22"/>
      <c r="D2866" s="22"/>
    </row>
    <row r="2867" spans="2:4" x14ac:dyDescent="0.25">
      <c r="B2867" s="22"/>
      <c r="C2867" s="22"/>
      <c r="D2867" s="22"/>
    </row>
    <row r="2868" spans="2:4" x14ac:dyDescent="0.25">
      <c r="B2868" s="22"/>
      <c r="C2868" s="22"/>
      <c r="D2868" s="22"/>
    </row>
    <row r="2869" spans="2:4" x14ac:dyDescent="0.25">
      <c r="B2869" s="22"/>
      <c r="C2869" s="22"/>
      <c r="D2869" s="22"/>
    </row>
    <row r="2870" spans="2:4" x14ac:dyDescent="0.25">
      <c r="B2870" s="22"/>
      <c r="C2870" s="22"/>
      <c r="D2870" s="22"/>
    </row>
    <row r="2871" spans="2:4" x14ac:dyDescent="0.25">
      <c r="B2871" s="22"/>
      <c r="C2871" s="22"/>
      <c r="D2871" s="22"/>
    </row>
    <row r="2872" spans="2:4" x14ac:dyDescent="0.25">
      <c r="B2872" s="22"/>
      <c r="C2872" s="22"/>
      <c r="D2872" s="22"/>
    </row>
    <row r="2873" spans="2:4" x14ac:dyDescent="0.25">
      <c r="B2873" s="22"/>
      <c r="C2873" s="22"/>
      <c r="D2873" s="22"/>
    </row>
    <row r="2874" spans="2:4" x14ac:dyDescent="0.25">
      <c r="B2874" s="22"/>
      <c r="C2874" s="22"/>
      <c r="D2874" s="22"/>
    </row>
    <row r="2875" spans="2:4" x14ac:dyDescent="0.25">
      <c r="B2875" s="22"/>
      <c r="C2875" s="22"/>
      <c r="D2875" s="22"/>
    </row>
    <row r="2876" spans="2:4" x14ac:dyDescent="0.25">
      <c r="B2876" s="22"/>
      <c r="C2876" s="22"/>
      <c r="D2876" s="22"/>
    </row>
    <row r="2877" spans="2:4" x14ac:dyDescent="0.25">
      <c r="B2877" s="22"/>
      <c r="C2877" s="22"/>
      <c r="D2877" s="22"/>
    </row>
    <row r="2878" spans="2:4" x14ac:dyDescent="0.25">
      <c r="B2878" s="22"/>
      <c r="C2878" s="22"/>
      <c r="D2878" s="22"/>
    </row>
    <row r="2879" spans="2:4" x14ac:dyDescent="0.25">
      <c r="B2879" s="22"/>
      <c r="C2879" s="22"/>
      <c r="D2879" s="22"/>
    </row>
    <row r="2880" spans="2:4" x14ac:dyDescent="0.25">
      <c r="B2880" s="22"/>
      <c r="C2880" s="22"/>
      <c r="D2880" s="22"/>
    </row>
    <row r="2881" spans="2:4" x14ac:dyDescent="0.25">
      <c r="B2881" s="22"/>
      <c r="C2881" s="22"/>
      <c r="D2881" s="22"/>
    </row>
    <row r="2882" spans="2:4" x14ac:dyDescent="0.25">
      <c r="B2882" s="22"/>
      <c r="C2882" s="22"/>
      <c r="D2882" s="22"/>
    </row>
    <row r="2883" spans="2:4" x14ac:dyDescent="0.25">
      <c r="B2883" s="22"/>
      <c r="C2883" s="22"/>
      <c r="D2883" s="22"/>
    </row>
    <row r="2884" spans="2:4" x14ac:dyDescent="0.25">
      <c r="B2884" s="22"/>
      <c r="C2884" s="22"/>
      <c r="D2884" s="22"/>
    </row>
    <row r="2885" spans="2:4" x14ac:dyDescent="0.25">
      <c r="B2885" s="22"/>
      <c r="C2885" s="22"/>
      <c r="D2885" s="22"/>
    </row>
    <row r="2886" spans="2:4" x14ac:dyDescent="0.25">
      <c r="B2886" s="22"/>
      <c r="C2886" s="22"/>
      <c r="D2886" s="22"/>
    </row>
    <row r="2887" spans="2:4" x14ac:dyDescent="0.25">
      <c r="B2887" s="22"/>
      <c r="C2887" s="22"/>
      <c r="D2887" s="22"/>
    </row>
    <row r="2888" spans="2:4" x14ac:dyDescent="0.25">
      <c r="B2888" s="22"/>
      <c r="C2888" s="22"/>
      <c r="D2888" s="22"/>
    </row>
    <row r="2889" spans="2:4" x14ac:dyDescent="0.25">
      <c r="B2889" s="22"/>
      <c r="C2889" s="22"/>
      <c r="D2889" s="22"/>
    </row>
    <row r="2890" spans="2:4" x14ac:dyDescent="0.25">
      <c r="B2890" s="22"/>
      <c r="C2890" s="22"/>
      <c r="D2890" s="22"/>
    </row>
    <row r="2891" spans="2:4" x14ac:dyDescent="0.25">
      <c r="B2891" s="22"/>
      <c r="C2891" s="22"/>
      <c r="D2891" s="22"/>
    </row>
    <row r="2892" spans="2:4" x14ac:dyDescent="0.25">
      <c r="B2892" s="22"/>
      <c r="C2892" s="22"/>
      <c r="D2892" s="22"/>
    </row>
    <row r="2893" spans="2:4" x14ac:dyDescent="0.25">
      <c r="B2893" s="22"/>
      <c r="C2893" s="22"/>
      <c r="D2893" s="22"/>
    </row>
    <row r="2894" spans="2:4" x14ac:dyDescent="0.25">
      <c r="B2894" s="22"/>
      <c r="C2894" s="22"/>
      <c r="D2894" s="22"/>
    </row>
    <row r="2895" spans="2:4" x14ac:dyDescent="0.25">
      <c r="B2895" s="22"/>
      <c r="C2895" s="22"/>
      <c r="D2895" s="22"/>
    </row>
    <row r="2896" spans="2:4" x14ac:dyDescent="0.25">
      <c r="B2896" s="22"/>
      <c r="C2896" s="22"/>
      <c r="D2896" s="22"/>
    </row>
    <row r="2897" spans="2:4" x14ac:dyDescent="0.25">
      <c r="B2897" s="22"/>
      <c r="C2897" s="22"/>
      <c r="D2897" s="22"/>
    </row>
    <row r="2898" spans="2:4" x14ac:dyDescent="0.25">
      <c r="B2898" s="22"/>
      <c r="C2898" s="22"/>
      <c r="D2898" s="22"/>
    </row>
    <row r="2899" spans="2:4" x14ac:dyDescent="0.25">
      <c r="B2899" s="22"/>
      <c r="C2899" s="22"/>
      <c r="D2899" s="22"/>
    </row>
    <row r="2900" spans="2:4" x14ac:dyDescent="0.25">
      <c r="B2900" s="22"/>
      <c r="C2900" s="22"/>
      <c r="D2900" s="22"/>
    </row>
    <row r="2901" spans="2:4" x14ac:dyDescent="0.25">
      <c r="B2901" s="22"/>
      <c r="C2901" s="22"/>
      <c r="D2901" s="22"/>
    </row>
    <row r="2902" spans="2:4" x14ac:dyDescent="0.25">
      <c r="B2902" s="22"/>
      <c r="C2902" s="22"/>
      <c r="D2902" s="22"/>
    </row>
    <row r="2903" spans="2:4" x14ac:dyDescent="0.25">
      <c r="B2903" s="22"/>
      <c r="C2903" s="22"/>
      <c r="D2903" s="22"/>
    </row>
    <row r="2904" spans="2:4" x14ac:dyDescent="0.25">
      <c r="B2904" s="22"/>
      <c r="C2904" s="22"/>
      <c r="D2904" s="22"/>
    </row>
    <row r="2905" spans="2:4" x14ac:dyDescent="0.25">
      <c r="B2905" s="22"/>
      <c r="C2905" s="22"/>
      <c r="D2905" s="22"/>
    </row>
    <row r="2906" spans="2:4" x14ac:dyDescent="0.25">
      <c r="B2906" s="22"/>
      <c r="C2906" s="22"/>
      <c r="D2906" s="22"/>
    </row>
    <row r="2907" spans="2:4" x14ac:dyDescent="0.25">
      <c r="B2907" s="22"/>
      <c r="C2907" s="22"/>
      <c r="D2907" s="22"/>
    </row>
    <row r="2908" spans="2:4" x14ac:dyDescent="0.25">
      <c r="B2908" s="22"/>
      <c r="C2908" s="22"/>
      <c r="D2908" s="22"/>
    </row>
    <row r="2909" spans="2:4" x14ac:dyDescent="0.25">
      <c r="B2909" s="22"/>
      <c r="C2909" s="22"/>
      <c r="D2909" s="22"/>
    </row>
    <row r="2910" spans="2:4" x14ac:dyDescent="0.25">
      <c r="B2910" s="22"/>
      <c r="C2910" s="22"/>
      <c r="D2910" s="22"/>
    </row>
    <row r="2911" spans="2:4" x14ac:dyDescent="0.25">
      <c r="B2911" s="22"/>
      <c r="C2911" s="22"/>
      <c r="D2911" s="22"/>
    </row>
    <row r="2912" spans="2:4" x14ac:dyDescent="0.25">
      <c r="B2912" s="22"/>
      <c r="C2912" s="22"/>
      <c r="D2912" s="22"/>
    </row>
    <row r="2913" spans="2:4" x14ac:dyDescent="0.25">
      <c r="B2913" s="22"/>
      <c r="C2913" s="22"/>
      <c r="D2913" s="22"/>
    </row>
    <row r="2914" spans="2:4" x14ac:dyDescent="0.25">
      <c r="B2914" s="22"/>
      <c r="C2914" s="22"/>
      <c r="D2914" s="22"/>
    </row>
    <row r="2915" spans="2:4" x14ac:dyDescent="0.25">
      <c r="B2915" s="22"/>
      <c r="C2915" s="22"/>
      <c r="D2915" s="22"/>
    </row>
    <row r="2916" spans="2:4" x14ac:dyDescent="0.25">
      <c r="B2916" s="22"/>
      <c r="C2916" s="22"/>
      <c r="D2916" s="22"/>
    </row>
    <row r="2917" spans="2:4" x14ac:dyDescent="0.25">
      <c r="B2917" s="22"/>
      <c r="C2917" s="22"/>
      <c r="D2917" s="22"/>
    </row>
    <row r="2918" spans="2:4" x14ac:dyDescent="0.25">
      <c r="B2918" s="22"/>
      <c r="C2918" s="22"/>
      <c r="D2918" s="22"/>
    </row>
    <row r="2919" spans="2:4" x14ac:dyDescent="0.25">
      <c r="B2919" s="22"/>
      <c r="C2919" s="22"/>
      <c r="D2919" s="22"/>
    </row>
    <row r="2920" spans="2:4" x14ac:dyDescent="0.25">
      <c r="B2920" s="22"/>
      <c r="C2920" s="22"/>
      <c r="D2920" s="22"/>
    </row>
    <row r="2921" spans="2:4" x14ac:dyDescent="0.25">
      <c r="B2921" s="22"/>
      <c r="C2921" s="22"/>
      <c r="D2921" s="22"/>
    </row>
    <row r="2922" spans="2:4" x14ac:dyDescent="0.25">
      <c r="B2922" s="22"/>
      <c r="C2922" s="22"/>
      <c r="D2922" s="22"/>
    </row>
    <row r="2923" spans="2:4" x14ac:dyDescent="0.25">
      <c r="B2923" s="22"/>
      <c r="C2923" s="22"/>
      <c r="D2923" s="22"/>
    </row>
    <row r="2924" spans="2:4" x14ac:dyDescent="0.25">
      <c r="B2924" s="22"/>
      <c r="C2924" s="22"/>
      <c r="D2924" s="22"/>
    </row>
    <row r="2925" spans="2:4" x14ac:dyDescent="0.25">
      <c r="B2925" s="22"/>
      <c r="C2925" s="22"/>
      <c r="D2925" s="22"/>
    </row>
    <row r="2926" spans="2:4" x14ac:dyDescent="0.25">
      <c r="B2926" s="22"/>
      <c r="C2926" s="22"/>
      <c r="D2926" s="22"/>
    </row>
    <row r="2927" spans="2:4" x14ac:dyDescent="0.25">
      <c r="B2927" s="22"/>
      <c r="C2927" s="22"/>
      <c r="D2927" s="22"/>
    </row>
    <row r="2928" spans="2:4" x14ac:dyDescent="0.25">
      <c r="B2928" s="22"/>
      <c r="C2928" s="22"/>
      <c r="D2928" s="22"/>
    </row>
  </sheetData>
  <autoFilter ref="A1:D1">
    <sortState ref="A2:D2858">
      <sortCondition descending="1" ref="D1"/>
    </sortState>
  </autoFilter>
  <sortState ref="B2:E2928">
    <sortCondition ref="E2:E2928"/>
  </sortState>
  <customSheetViews>
    <customSheetView guid="{393F5C55-F382-488D-820D-AD7E2AF37D2B}" state="hidden">
      <selection activeCell="C3" sqref="C3"/>
      <pageMargins left="0.7" right="0.7" top="0.75" bottom="0.75" header="0.3" footer="0.3"/>
    </customSheetView>
  </customSheetViews>
  <mergeCells count="1">
    <mergeCell ref="G2:I4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417"/>
  <sheetViews>
    <sheetView workbookViewId="0">
      <selection activeCell="B13" sqref="B13"/>
    </sheetView>
  </sheetViews>
  <sheetFormatPr defaultRowHeight="15" x14ac:dyDescent="0.25"/>
  <cols>
    <col min="1" max="1" width="9.140625" style="18"/>
  </cols>
  <sheetData>
    <row r="1" spans="1:9" x14ac:dyDescent="0.25">
      <c r="B1" s="44" t="s">
        <v>28</v>
      </c>
      <c r="C1" s="44"/>
      <c r="D1" s="44"/>
      <c r="E1" s="44"/>
      <c r="F1" s="44"/>
      <c r="G1" s="44"/>
      <c r="H1" s="44"/>
      <c r="I1" s="44"/>
    </row>
    <row r="2" spans="1:9" x14ac:dyDescent="0.25">
      <c r="A2" s="18">
        <v>1</v>
      </c>
      <c r="B2" s="44"/>
      <c r="C2" s="44"/>
      <c r="D2" s="44"/>
      <c r="E2" s="44"/>
      <c r="F2" s="44"/>
      <c r="G2" s="44"/>
      <c r="H2" s="44"/>
      <c r="I2" s="44"/>
    </row>
    <row r="3" spans="1:9" x14ac:dyDescent="0.25">
      <c r="A3" s="18">
        <v>101</v>
      </c>
      <c r="B3" s="44"/>
      <c r="C3" s="44"/>
      <c r="D3" s="44"/>
      <c r="E3" s="44"/>
      <c r="F3" s="44"/>
      <c r="G3" s="44"/>
      <c r="H3" s="44"/>
      <c r="I3" s="44"/>
    </row>
    <row r="4" spans="1:9" x14ac:dyDescent="0.25">
      <c r="A4" s="18">
        <v>10101</v>
      </c>
      <c r="B4" s="44"/>
      <c r="C4" s="44"/>
      <c r="D4" s="44"/>
      <c r="E4" s="44"/>
      <c r="F4" s="44"/>
      <c r="G4" s="44"/>
      <c r="H4" s="44"/>
      <c r="I4" s="44"/>
    </row>
    <row r="5" spans="1:9" x14ac:dyDescent="0.25">
      <c r="A5" s="18">
        <v>10102</v>
      </c>
      <c r="B5" s="44"/>
      <c r="C5" s="44"/>
      <c r="D5" s="44"/>
      <c r="E5" s="44"/>
      <c r="F5" s="44"/>
      <c r="G5" s="44"/>
      <c r="H5" s="44"/>
      <c r="I5" s="44"/>
    </row>
    <row r="6" spans="1:9" x14ac:dyDescent="0.25">
      <c r="A6" s="18">
        <v>1010201</v>
      </c>
      <c r="B6" s="44"/>
      <c r="C6" s="44"/>
      <c r="D6" s="44"/>
      <c r="E6" s="44"/>
      <c r="F6" s="44"/>
      <c r="G6" s="44"/>
      <c r="H6" s="44"/>
      <c r="I6" s="44"/>
    </row>
    <row r="7" spans="1:9" x14ac:dyDescent="0.25">
      <c r="A7" s="18">
        <v>1010202</v>
      </c>
      <c r="B7" s="44"/>
      <c r="C7" s="44"/>
      <c r="D7" s="44"/>
      <c r="E7" s="44"/>
      <c r="F7" s="44"/>
      <c r="G7" s="44"/>
      <c r="H7" s="44"/>
      <c r="I7" s="44"/>
    </row>
    <row r="8" spans="1:9" x14ac:dyDescent="0.25">
      <c r="A8" s="18">
        <v>1010203</v>
      </c>
      <c r="B8" s="44"/>
      <c r="C8" s="44"/>
      <c r="D8" s="44"/>
      <c r="E8" s="44"/>
      <c r="F8" s="44"/>
      <c r="G8" s="44"/>
      <c r="H8" s="44"/>
      <c r="I8" s="44"/>
    </row>
    <row r="9" spans="1:9" x14ac:dyDescent="0.25">
      <c r="A9" s="18">
        <v>1010204</v>
      </c>
      <c r="B9" s="44"/>
      <c r="C9" s="44"/>
      <c r="D9" s="44"/>
      <c r="E9" s="44"/>
      <c r="F9" s="44"/>
      <c r="G9" s="44"/>
      <c r="H9" s="44"/>
      <c r="I9" s="44"/>
    </row>
    <row r="10" spans="1:9" x14ac:dyDescent="0.25">
      <c r="A10" s="18">
        <v>1010205</v>
      </c>
      <c r="B10" s="44"/>
      <c r="C10" s="44"/>
      <c r="D10" s="44"/>
      <c r="E10" s="44"/>
      <c r="F10" s="44"/>
      <c r="G10" s="44"/>
      <c r="H10" s="44"/>
      <c r="I10" s="44"/>
    </row>
    <row r="11" spans="1:9" x14ac:dyDescent="0.25">
      <c r="A11" s="18">
        <v>101020501</v>
      </c>
      <c r="B11" s="44"/>
      <c r="C11" s="44"/>
      <c r="D11" s="44"/>
      <c r="E11" s="44"/>
      <c r="F11" s="44"/>
      <c r="G11" s="44"/>
      <c r="H11" s="44"/>
      <c r="I11" s="44"/>
    </row>
    <row r="12" spans="1:9" x14ac:dyDescent="0.25">
      <c r="A12" s="18">
        <v>101020502</v>
      </c>
      <c r="B12" s="44"/>
      <c r="C12" s="44"/>
      <c r="D12" s="44"/>
      <c r="E12" s="44"/>
      <c r="F12" s="44"/>
      <c r="G12" s="44"/>
      <c r="H12" s="44"/>
      <c r="I12" s="44"/>
    </row>
    <row r="13" spans="1:9" ht="14.45" x14ac:dyDescent="0.3">
      <c r="A13" s="18">
        <v>1010206</v>
      </c>
    </row>
    <row r="14" spans="1:9" ht="14.45" x14ac:dyDescent="0.3">
      <c r="A14" s="18">
        <v>1010207</v>
      </c>
    </row>
    <row r="15" spans="1:9" ht="14.45" x14ac:dyDescent="0.3">
      <c r="A15" s="18">
        <v>1010208</v>
      </c>
    </row>
    <row r="16" spans="1:9" ht="14.45" x14ac:dyDescent="0.3">
      <c r="A16" s="18">
        <v>1010209</v>
      </c>
    </row>
    <row r="17" spans="1:1" ht="14.45" x14ac:dyDescent="0.3">
      <c r="A17" s="18">
        <v>10103</v>
      </c>
    </row>
    <row r="18" spans="1:1" ht="14.45" x14ac:dyDescent="0.3">
      <c r="A18" s="18">
        <v>1010301</v>
      </c>
    </row>
    <row r="19" spans="1:1" ht="14.45" x14ac:dyDescent="0.3">
      <c r="A19" s="18">
        <v>1010302</v>
      </c>
    </row>
    <row r="20" spans="1:1" x14ac:dyDescent="0.25">
      <c r="A20" s="18">
        <v>1010303</v>
      </c>
    </row>
    <row r="21" spans="1:1" x14ac:dyDescent="0.25">
      <c r="A21" s="18">
        <v>1010304</v>
      </c>
    </row>
    <row r="22" spans="1:1" x14ac:dyDescent="0.25">
      <c r="A22" s="18">
        <v>1010305</v>
      </c>
    </row>
    <row r="23" spans="1:1" x14ac:dyDescent="0.25">
      <c r="A23" s="18">
        <v>1010306</v>
      </c>
    </row>
    <row r="24" spans="1:1" x14ac:dyDescent="0.25">
      <c r="A24" s="18">
        <v>1010307</v>
      </c>
    </row>
    <row r="25" spans="1:1" x14ac:dyDescent="0.25">
      <c r="A25" s="18">
        <v>1010308</v>
      </c>
    </row>
    <row r="26" spans="1:1" x14ac:dyDescent="0.25">
      <c r="A26" s="18">
        <v>1010309</v>
      </c>
    </row>
    <row r="27" spans="1:1" x14ac:dyDescent="0.25">
      <c r="A27" s="18">
        <v>1010310</v>
      </c>
    </row>
    <row r="28" spans="1:1" x14ac:dyDescent="0.25">
      <c r="A28" s="18">
        <v>1010311</v>
      </c>
    </row>
    <row r="29" spans="1:1" x14ac:dyDescent="0.25">
      <c r="A29" s="18">
        <v>1010312</v>
      </c>
    </row>
    <row r="30" spans="1:1" x14ac:dyDescent="0.25">
      <c r="A30" s="18">
        <v>1010313</v>
      </c>
    </row>
    <row r="31" spans="1:1" x14ac:dyDescent="0.25">
      <c r="A31" s="18">
        <v>10104</v>
      </c>
    </row>
    <row r="32" spans="1:1" x14ac:dyDescent="0.25">
      <c r="A32" s="18">
        <v>1010401</v>
      </c>
    </row>
    <row r="33" spans="1:1" x14ac:dyDescent="0.25">
      <c r="A33" s="18">
        <v>1010402</v>
      </c>
    </row>
    <row r="34" spans="1:1" x14ac:dyDescent="0.25">
      <c r="A34" s="18">
        <v>1010403</v>
      </c>
    </row>
    <row r="35" spans="1:1" x14ac:dyDescent="0.25">
      <c r="A35" s="18">
        <v>1010404</v>
      </c>
    </row>
    <row r="36" spans="1:1" x14ac:dyDescent="0.25">
      <c r="A36" s="18">
        <v>10105</v>
      </c>
    </row>
    <row r="37" spans="1:1" x14ac:dyDescent="0.25">
      <c r="A37" s="18">
        <v>1010501</v>
      </c>
    </row>
    <row r="38" spans="1:1" x14ac:dyDescent="0.25">
      <c r="A38" s="18">
        <v>1010502</v>
      </c>
    </row>
    <row r="39" spans="1:1" x14ac:dyDescent="0.25">
      <c r="A39" s="18">
        <v>1010503</v>
      </c>
    </row>
    <row r="40" spans="1:1" x14ac:dyDescent="0.25">
      <c r="A40" s="18">
        <v>10106</v>
      </c>
    </row>
    <row r="41" spans="1:1" x14ac:dyDescent="0.25">
      <c r="A41" s="18">
        <v>10107</v>
      </c>
    </row>
    <row r="42" spans="1:1" x14ac:dyDescent="0.25">
      <c r="A42" s="18">
        <v>10108</v>
      </c>
    </row>
    <row r="43" spans="1:1" x14ac:dyDescent="0.25">
      <c r="A43" s="18">
        <v>102</v>
      </c>
    </row>
    <row r="44" spans="1:1" x14ac:dyDescent="0.25">
      <c r="A44" s="18">
        <v>10201</v>
      </c>
    </row>
    <row r="45" spans="1:1" x14ac:dyDescent="0.25">
      <c r="A45" s="18">
        <v>1020101</v>
      </c>
    </row>
    <row r="46" spans="1:1" x14ac:dyDescent="0.25">
      <c r="A46" s="18">
        <v>1020102</v>
      </c>
    </row>
    <row r="47" spans="1:1" x14ac:dyDescent="0.25">
      <c r="A47" s="18">
        <v>1020103</v>
      </c>
    </row>
    <row r="48" spans="1:1" x14ac:dyDescent="0.25">
      <c r="A48" s="18">
        <v>1020104</v>
      </c>
    </row>
    <row r="49" spans="1:1" x14ac:dyDescent="0.25">
      <c r="A49" s="18">
        <v>1020105</v>
      </c>
    </row>
    <row r="50" spans="1:1" x14ac:dyDescent="0.25">
      <c r="A50" s="18">
        <v>1020106</v>
      </c>
    </row>
    <row r="51" spans="1:1" x14ac:dyDescent="0.25">
      <c r="A51" s="18">
        <v>1020107</v>
      </c>
    </row>
    <row r="52" spans="1:1" x14ac:dyDescent="0.25">
      <c r="A52" s="18">
        <v>1020108</v>
      </c>
    </row>
    <row r="53" spans="1:1" x14ac:dyDescent="0.25">
      <c r="A53" s="18">
        <v>1020109</v>
      </c>
    </row>
    <row r="54" spans="1:1" x14ac:dyDescent="0.25">
      <c r="A54" s="18">
        <v>1020110</v>
      </c>
    </row>
    <row r="55" spans="1:1" x14ac:dyDescent="0.25">
      <c r="A55" s="18">
        <v>1020111</v>
      </c>
    </row>
    <row r="56" spans="1:1" x14ac:dyDescent="0.25">
      <c r="A56" s="18">
        <v>1020112</v>
      </c>
    </row>
    <row r="57" spans="1:1" x14ac:dyDescent="0.25">
      <c r="A57" s="18">
        <v>1020113</v>
      </c>
    </row>
    <row r="58" spans="1:1" x14ac:dyDescent="0.25">
      <c r="A58" s="18">
        <v>1020114</v>
      </c>
    </row>
    <row r="59" spans="1:1" x14ac:dyDescent="0.25">
      <c r="A59" s="18">
        <v>102011401</v>
      </c>
    </row>
    <row r="60" spans="1:1" x14ac:dyDescent="0.25">
      <c r="A60" s="18">
        <v>102011402</v>
      </c>
    </row>
    <row r="61" spans="1:1" x14ac:dyDescent="0.25">
      <c r="A61" s="18">
        <v>102011403</v>
      </c>
    </row>
    <row r="62" spans="1:1" x14ac:dyDescent="0.25">
      <c r="A62" s="18">
        <v>10202</v>
      </c>
    </row>
    <row r="63" spans="1:1" x14ac:dyDescent="0.25">
      <c r="A63" s="18">
        <v>1020201</v>
      </c>
    </row>
    <row r="64" spans="1:1" x14ac:dyDescent="0.25">
      <c r="A64" s="18">
        <v>1020202</v>
      </c>
    </row>
    <row r="65" spans="1:1" x14ac:dyDescent="0.25">
      <c r="A65" s="18">
        <v>1020203</v>
      </c>
    </row>
    <row r="66" spans="1:1" x14ac:dyDescent="0.25">
      <c r="A66" s="18">
        <v>1020204</v>
      </c>
    </row>
    <row r="67" spans="1:1" x14ac:dyDescent="0.25">
      <c r="A67" s="18">
        <v>10203</v>
      </c>
    </row>
    <row r="68" spans="1:1" x14ac:dyDescent="0.25">
      <c r="A68" s="18">
        <v>1020301</v>
      </c>
    </row>
    <row r="69" spans="1:1" x14ac:dyDescent="0.25">
      <c r="A69" s="18">
        <v>1020302</v>
      </c>
    </row>
    <row r="70" spans="1:1" x14ac:dyDescent="0.25">
      <c r="A70" s="18">
        <v>1020303</v>
      </c>
    </row>
    <row r="71" spans="1:1" x14ac:dyDescent="0.25">
      <c r="A71" s="18">
        <v>1020304</v>
      </c>
    </row>
    <row r="72" spans="1:1" x14ac:dyDescent="0.25">
      <c r="A72" s="18">
        <v>1020305</v>
      </c>
    </row>
    <row r="73" spans="1:1" x14ac:dyDescent="0.25">
      <c r="A73" s="18">
        <v>1020306</v>
      </c>
    </row>
    <row r="74" spans="1:1" x14ac:dyDescent="0.25">
      <c r="A74" s="18">
        <v>10204</v>
      </c>
    </row>
    <row r="75" spans="1:1" x14ac:dyDescent="0.25">
      <c r="A75" s="18">
        <v>1020401</v>
      </c>
    </row>
    <row r="76" spans="1:1" x14ac:dyDescent="0.25">
      <c r="A76" s="18">
        <v>1020402</v>
      </c>
    </row>
    <row r="77" spans="1:1" x14ac:dyDescent="0.25">
      <c r="A77" s="18">
        <v>1020403</v>
      </c>
    </row>
    <row r="78" spans="1:1" x14ac:dyDescent="0.25">
      <c r="A78" s="18">
        <v>1020404</v>
      </c>
    </row>
    <row r="79" spans="1:1" x14ac:dyDescent="0.25">
      <c r="A79" s="18">
        <v>1020405</v>
      </c>
    </row>
    <row r="80" spans="1:1" x14ac:dyDescent="0.25">
      <c r="A80" s="18">
        <v>1020406</v>
      </c>
    </row>
    <row r="81" spans="1:1" x14ac:dyDescent="0.25">
      <c r="A81" s="18">
        <v>10205</v>
      </c>
    </row>
    <row r="82" spans="1:1" x14ac:dyDescent="0.25">
      <c r="A82" s="18">
        <v>10206</v>
      </c>
    </row>
    <row r="83" spans="1:1" x14ac:dyDescent="0.25">
      <c r="A83" s="18">
        <v>1020601</v>
      </c>
    </row>
    <row r="84" spans="1:1" x14ac:dyDescent="0.25">
      <c r="A84" s="18">
        <v>1020602</v>
      </c>
    </row>
    <row r="85" spans="1:1" x14ac:dyDescent="0.25">
      <c r="A85" s="18">
        <v>1020603</v>
      </c>
    </row>
    <row r="86" spans="1:1" x14ac:dyDescent="0.25">
      <c r="A86" s="18">
        <v>1020604</v>
      </c>
    </row>
    <row r="87" spans="1:1" x14ac:dyDescent="0.25">
      <c r="A87" s="18">
        <v>10207</v>
      </c>
    </row>
    <row r="88" spans="1:1" x14ac:dyDescent="0.25">
      <c r="A88" s="18">
        <v>1020701</v>
      </c>
    </row>
    <row r="89" spans="1:1" x14ac:dyDescent="0.25">
      <c r="A89" s="18">
        <v>1020702</v>
      </c>
    </row>
    <row r="90" spans="1:1" x14ac:dyDescent="0.25">
      <c r="A90" s="18">
        <v>1020703</v>
      </c>
    </row>
    <row r="91" spans="1:1" x14ac:dyDescent="0.25">
      <c r="A91" s="18">
        <v>1020704</v>
      </c>
    </row>
    <row r="92" spans="1:1" x14ac:dyDescent="0.25">
      <c r="A92" s="18">
        <v>1020705</v>
      </c>
    </row>
    <row r="93" spans="1:1" x14ac:dyDescent="0.25">
      <c r="A93" s="18">
        <v>1020706</v>
      </c>
    </row>
    <row r="94" spans="1:1" x14ac:dyDescent="0.25">
      <c r="A94" s="18">
        <v>2</v>
      </c>
    </row>
    <row r="95" spans="1:1" x14ac:dyDescent="0.25">
      <c r="A95" s="18">
        <v>201</v>
      </c>
    </row>
    <row r="96" spans="1:1" x14ac:dyDescent="0.25">
      <c r="A96" s="18">
        <v>20101</v>
      </c>
    </row>
    <row r="97" spans="1:1" x14ac:dyDescent="0.25">
      <c r="A97" s="18">
        <v>20102</v>
      </c>
    </row>
    <row r="98" spans="1:1" x14ac:dyDescent="0.25">
      <c r="A98" s="18">
        <v>20103</v>
      </c>
    </row>
    <row r="99" spans="1:1" x14ac:dyDescent="0.25">
      <c r="A99" s="18">
        <v>2010301</v>
      </c>
    </row>
    <row r="100" spans="1:1" x14ac:dyDescent="0.25">
      <c r="A100" s="18">
        <v>2010302</v>
      </c>
    </row>
    <row r="101" spans="1:1" x14ac:dyDescent="0.25">
      <c r="A101" s="18">
        <v>20104</v>
      </c>
    </row>
    <row r="102" spans="1:1" x14ac:dyDescent="0.25">
      <c r="A102" s="18">
        <v>2010401</v>
      </c>
    </row>
    <row r="103" spans="1:1" x14ac:dyDescent="0.25">
      <c r="A103" s="18">
        <v>2010402</v>
      </c>
    </row>
    <row r="104" spans="1:1" x14ac:dyDescent="0.25">
      <c r="A104" s="18">
        <v>20105</v>
      </c>
    </row>
    <row r="105" spans="1:1" x14ac:dyDescent="0.25">
      <c r="A105" s="18">
        <v>2010501</v>
      </c>
    </row>
    <row r="106" spans="1:1" x14ac:dyDescent="0.25">
      <c r="A106" s="18">
        <v>2010502</v>
      </c>
    </row>
    <row r="107" spans="1:1" x14ac:dyDescent="0.25">
      <c r="A107" s="18">
        <v>20106</v>
      </c>
    </row>
    <row r="108" spans="1:1" x14ac:dyDescent="0.25">
      <c r="A108" s="18">
        <v>20107</v>
      </c>
    </row>
    <row r="109" spans="1:1" x14ac:dyDescent="0.25">
      <c r="A109" s="18">
        <v>2010701</v>
      </c>
    </row>
    <row r="110" spans="1:1" x14ac:dyDescent="0.25">
      <c r="A110" s="18">
        <v>2010702</v>
      </c>
    </row>
    <row r="111" spans="1:1" x14ac:dyDescent="0.25">
      <c r="A111" s="18">
        <v>2010703</v>
      </c>
    </row>
    <row r="112" spans="1:1" x14ac:dyDescent="0.25">
      <c r="A112" s="18">
        <v>2010704</v>
      </c>
    </row>
    <row r="113" spans="1:1" x14ac:dyDescent="0.25">
      <c r="A113" s="18">
        <v>2010705</v>
      </c>
    </row>
    <row r="114" spans="1:1" x14ac:dyDescent="0.25">
      <c r="A114" s="18">
        <v>2010706</v>
      </c>
    </row>
    <row r="115" spans="1:1" x14ac:dyDescent="0.25">
      <c r="A115" s="18">
        <v>20108</v>
      </c>
    </row>
    <row r="116" spans="1:1" x14ac:dyDescent="0.25">
      <c r="A116" s="18">
        <v>20109</v>
      </c>
    </row>
    <row r="117" spans="1:1" x14ac:dyDescent="0.25">
      <c r="A117" s="18">
        <v>20110</v>
      </c>
    </row>
    <row r="118" spans="1:1" x14ac:dyDescent="0.25">
      <c r="A118" s="18">
        <v>20111</v>
      </c>
    </row>
    <row r="119" spans="1:1" x14ac:dyDescent="0.25">
      <c r="A119" s="18">
        <v>20112</v>
      </c>
    </row>
    <row r="120" spans="1:1" x14ac:dyDescent="0.25">
      <c r="A120" s="18">
        <v>2011201</v>
      </c>
    </row>
    <row r="121" spans="1:1" x14ac:dyDescent="0.25">
      <c r="A121" s="18">
        <v>2011202</v>
      </c>
    </row>
    <row r="122" spans="1:1" x14ac:dyDescent="0.25">
      <c r="A122" s="18">
        <v>20113</v>
      </c>
    </row>
    <row r="123" spans="1:1" x14ac:dyDescent="0.25">
      <c r="A123" s="18">
        <v>202</v>
      </c>
    </row>
    <row r="124" spans="1:1" x14ac:dyDescent="0.25">
      <c r="A124" s="18">
        <v>20201</v>
      </c>
    </row>
    <row r="125" spans="1:1" x14ac:dyDescent="0.25">
      <c r="A125" s="18">
        <v>20202</v>
      </c>
    </row>
    <row r="126" spans="1:1" x14ac:dyDescent="0.25">
      <c r="A126" s="18">
        <v>2020201</v>
      </c>
    </row>
    <row r="127" spans="1:1" x14ac:dyDescent="0.25">
      <c r="A127" s="18">
        <v>2020202</v>
      </c>
    </row>
    <row r="128" spans="1:1" x14ac:dyDescent="0.25">
      <c r="A128" s="18">
        <v>20203</v>
      </c>
    </row>
    <row r="129" spans="1:1" x14ac:dyDescent="0.25">
      <c r="A129" s="18">
        <v>2020301</v>
      </c>
    </row>
    <row r="130" spans="1:1" x14ac:dyDescent="0.25">
      <c r="A130" s="18">
        <v>2020302</v>
      </c>
    </row>
    <row r="131" spans="1:1" x14ac:dyDescent="0.25">
      <c r="A131" s="18">
        <v>20204</v>
      </c>
    </row>
    <row r="132" spans="1:1" x14ac:dyDescent="0.25">
      <c r="A132" s="18">
        <v>2020401</v>
      </c>
    </row>
    <row r="133" spans="1:1" x14ac:dyDescent="0.25">
      <c r="A133" s="18">
        <v>2020402</v>
      </c>
    </row>
    <row r="134" spans="1:1" x14ac:dyDescent="0.25">
      <c r="A134" s="18">
        <v>20205</v>
      </c>
    </row>
    <row r="135" spans="1:1" x14ac:dyDescent="0.25">
      <c r="A135" s="18">
        <v>20206</v>
      </c>
    </row>
    <row r="136" spans="1:1" x14ac:dyDescent="0.25">
      <c r="A136" s="18">
        <v>20207</v>
      </c>
    </row>
    <row r="137" spans="1:1" x14ac:dyDescent="0.25">
      <c r="A137" s="18">
        <v>2020701</v>
      </c>
    </row>
    <row r="138" spans="1:1" x14ac:dyDescent="0.25">
      <c r="A138" s="18">
        <v>2020702</v>
      </c>
    </row>
    <row r="139" spans="1:1" x14ac:dyDescent="0.25">
      <c r="A139" s="18">
        <v>20208</v>
      </c>
    </row>
    <row r="140" spans="1:1" x14ac:dyDescent="0.25">
      <c r="A140" s="18">
        <v>20209</v>
      </c>
    </row>
    <row r="141" spans="1:1" x14ac:dyDescent="0.25">
      <c r="A141" s="18">
        <v>2020901</v>
      </c>
    </row>
    <row r="142" spans="1:1" x14ac:dyDescent="0.25">
      <c r="A142" s="18">
        <v>2020902</v>
      </c>
    </row>
    <row r="143" spans="1:1" x14ac:dyDescent="0.25">
      <c r="A143" s="18">
        <v>20210</v>
      </c>
    </row>
    <row r="144" spans="1:1" x14ac:dyDescent="0.25">
      <c r="A144" s="18">
        <v>3</v>
      </c>
    </row>
    <row r="145" spans="1:1" x14ac:dyDescent="0.25">
      <c r="A145" s="18">
        <v>301</v>
      </c>
    </row>
    <row r="146" spans="1:1" x14ac:dyDescent="0.25">
      <c r="A146" s="18">
        <v>30101</v>
      </c>
    </row>
    <row r="147" spans="1:1" x14ac:dyDescent="0.25">
      <c r="A147" s="18">
        <v>30102</v>
      </c>
    </row>
    <row r="148" spans="1:1" x14ac:dyDescent="0.25">
      <c r="A148" s="18">
        <v>302</v>
      </c>
    </row>
    <row r="149" spans="1:1" x14ac:dyDescent="0.25">
      <c r="A149" s="18">
        <v>303</v>
      </c>
    </row>
    <row r="150" spans="1:1" x14ac:dyDescent="0.25">
      <c r="A150" s="18">
        <v>304</v>
      </c>
    </row>
    <row r="151" spans="1:1" x14ac:dyDescent="0.25">
      <c r="A151" s="18">
        <v>30401</v>
      </c>
    </row>
    <row r="152" spans="1:1" x14ac:dyDescent="0.25">
      <c r="A152" s="18">
        <v>30402</v>
      </c>
    </row>
    <row r="153" spans="1:1" x14ac:dyDescent="0.25">
      <c r="A153" s="18">
        <v>305</v>
      </c>
    </row>
    <row r="154" spans="1:1" x14ac:dyDescent="0.25">
      <c r="A154" s="18">
        <v>30501</v>
      </c>
    </row>
    <row r="155" spans="1:1" x14ac:dyDescent="0.25">
      <c r="A155" s="18">
        <v>30502</v>
      </c>
    </row>
    <row r="156" spans="1:1" x14ac:dyDescent="0.25">
      <c r="A156" s="18">
        <v>30503</v>
      </c>
    </row>
    <row r="157" spans="1:1" x14ac:dyDescent="0.25">
      <c r="A157" s="18">
        <v>30504</v>
      </c>
    </row>
    <row r="158" spans="1:1" x14ac:dyDescent="0.25">
      <c r="A158" s="18">
        <v>306</v>
      </c>
    </row>
    <row r="159" spans="1:1" x14ac:dyDescent="0.25">
      <c r="A159" s="18">
        <v>30601</v>
      </c>
    </row>
    <row r="160" spans="1:1" x14ac:dyDescent="0.25">
      <c r="A160" s="18">
        <v>30602</v>
      </c>
    </row>
    <row r="161" spans="1:1" x14ac:dyDescent="0.25">
      <c r="A161" s="18">
        <v>30603</v>
      </c>
    </row>
    <row r="162" spans="1:1" x14ac:dyDescent="0.25">
      <c r="A162" s="18">
        <v>30604</v>
      </c>
    </row>
    <row r="163" spans="1:1" x14ac:dyDescent="0.25">
      <c r="A163" s="18">
        <v>30605</v>
      </c>
    </row>
    <row r="164" spans="1:1" x14ac:dyDescent="0.25">
      <c r="A164" s="18">
        <v>30606</v>
      </c>
    </row>
    <row r="165" spans="1:1" x14ac:dyDescent="0.25">
      <c r="A165" s="18">
        <v>30607</v>
      </c>
    </row>
    <row r="166" spans="1:1" x14ac:dyDescent="0.25">
      <c r="A166" s="18">
        <v>307</v>
      </c>
    </row>
    <row r="167" spans="1:1" x14ac:dyDescent="0.25">
      <c r="A167" s="18">
        <v>30701</v>
      </c>
    </row>
    <row r="168" spans="1:1" x14ac:dyDescent="0.25">
      <c r="A168" s="18">
        <v>30702</v>
      </c>
    </row>
    <row r="169" spans="1:1" x14ac:dyDescent="0.25">
      <c r="A169" s="18">
        <v>311</v>
      </c>
    </row>
    <row r="170" spans="1:1" x14ac:dyDescent="0.25">
      <c r="A170" s="18">
        <v>312</v>
      </c>
    </row>
    <row r="171" spans="1:1" x14ac:dyDescent="0.25">
      <c r="A171" s="18">
        <v>313</v>
      </c>
    </row>
    <row r="172" spans="1:1" x14ac:dyDescent="0.25">
      <c r="A172" s="18">
        <v>314</v>
      </c>
    </row>
    <row r="173" spans="1:1" x14ac:dyDescent="0.25">
      <c r="A173" s="18">
        <v>315</v>
      </c>
    </row>
    <row r="174" spans="1:1" x14ac:dyDescent="0.25">
      <c r="A174" s="18">
        <v>316</v>
      </c>
    </row>
    <row r="175" spans="1:1" x14ac:dyDescent="0.25">
      <c r="A175" s="18">
        <v>317</v>
      </c>
    </row>
    <row r="176" spans="1:1" x14ac:dyDescent="0.25">
      <c r="A176" s="18">
        <v>318</v>
      </c>
    </row>
    <row r="177" spans="1:1" x14ac:dyDescent="0.25">
      <c r="A177" s="18">
        <v>319</v>
      </c>
    </row>
    <row r="178" spans="1:1" x14ac:dyDescent="0.25">
      <c r="A178" s="18">
        <v>320</v>
      </c>
    </row>
    <row r="179" spans="1:1" x14ac:dyDescent="0.25">
      <c r="A179" s="18">
        <v>321</v>
      </c>
    </row>
    <row r="180" spans="1:1" x14ac:dyDescent="0.25">
      <c r="A180" s="18">
        <v>323</v>
      </c>
    </row>
    <row r="181" spans="1:1" x14ac:dyDescent="0.25">
      <c r="A181" s="18">
        <v>324</v>
      </c>
    </row>
    <row r="182" spans="1:1" x14ac:dyDescent="0.25">
      <c r="A182" s="18">
        <v>325</v>
      </c>
    </row>
    <row r="183" spans="1:1" x14ac:dyDescent="0.25">
      <c r="A183" s="18">
        <v>326</v>
      </c>
    </row>
    <row r="184" spans="1:1" x14ac:dyDescent="0.25">
      <c r="A184" s="18">
        <v>327</v>
      </c>
    </row>
    <row r="185" spans="1:1" x14ac:dyDescent="0.25">
      <c r="A185" s="18">
        <v>328</v>
      </c>
    </row>
    <row r="186" spans="1:1" x14ac:dyDescent="0.25">
      <c r="A186" s="18">
        <v>329</v>
      </c>
    </row>
    <row r="187" spans="1:1" x14ac:dyDescent="0.25">
      <c r="A187" s="18">
        <v>330</v>
      </c>
    </row>
    <row r="188" spans="1:1" x14ac:dyDescent="0.25">
      <c r="A188" s="18">
        <v>331</v>
      </c>
    </row>
    <row r="189" spans="1:1" x14ac:dyDescent="0.25">
      <c r="A189" s="18">
        <v>332</v>
      </c>
    </row>
    <row r="190" spans="1:1" x14ac:dyDescent="0.25">
      <c r="A190" s="18">
        <v>339</v>
      </c>
    </row>
    <row r="191" spans="1:1" x14ac:dyDescent="0.25">
      <c r="A191" s="18">
        <v>341</v>
      </c>
    </row>
    <row r="192" spans="1:1" x14ac:dyDescent="0.25">
      <c r="A192" s="18">
        <v>342</v>
      </c>
    </row>
    <row r="193" spans="1:1" x14ac:dyDescent="0.25">
      <c r="A193" s="18">
        <v>343</v>
      </c>
    </row>
    <row r="194" spans="1:1" x14ac:dyDescent="0.25">
      <c r="A194" s="18">
        <v>344</v>
      </c>
    </row>
    <row r="195" spans="1:1" x14ac:dyDescent="0.25">
      <c r="A195" s="18">
        <v>345</v>
      </c>
    </row>
    <row r="196" spans="1:1" x14ac:dyDescent="0.25">
      <c r="A196" s="18">
        <v>346</v>
      </c>
    </row>
    <row r="197" spans="1:1" x14ac:dyDescent="0.25">
      <c r="A197" s="18">
        <v>347</v>
      </c>
    </row>
    <row r="198" spans="1:1" x14ac:dyDescent="0.25">
      <c r="A198" s="18">
        <v>348</v>
      </c>
    </row>
    <row r="199" spans="1:1" x14ac:dyDescent="0.25">
      <c r="A199" s="18">
        <v>349</v>
      </c>
    </row>
    <row r="200" spans="1:1" x14ac:dyDescent="0.25">
      <c r="A200" s="18">
        <v>350</v>
      </c>
    </row>
    <row r="201" spans="1:1" x14ac:dyDescent="0.25">
      <c r="A201" s="18">
        <v>369</v>
      </c>
    </row>
    <row r="202" spans="1:1" x14ac:dyDescent="0.25">
      <c r="A202" s="18">
        <v>371</v>
      </c>
    </row>
    <row r="203" spans="1:1" x14ac:dyDescent="0.25">
      <c r="A203" s="18">
        <v>373</v>
      </c>
    </row>
    <row r="204" spans="1:1" x14ac:dyDescent="0.25">
      <c r="A204" s="18">
        <v>375</v>
      </c>
    </row>
    <row r="205" spans="1:1" x14ac:dyDescent="0.25">
      <c r="A205" s="18">
        <v>378</v>
      </c>
    </row>
    <row r="206" spans="1:1" x14ac:dyDescent="0.25">
      <c r="A206" s="18">
        <v>379</v>
      </c>
    </row>
    <row r="207" spans="1:1" x14ac:dyDescent="0.25">
      <c r="A207" s="18">
        <v>381</v>
      </c>
    </row>
    <row r="208" spans="1:1" x14ac:dyDescent="0.25">
      <c r="A208" s="18">
        <v>382</v>
      </c>
    </row>
    <row r="209" spans="1:1" x14ac:dyDescent="0.25">
      <c r="A209" s="18">
        <v>383</v>
      </c>
    </row>
    <row r="210" spans="1:1" x14ac:dyDescent="0.25">
      <c r="A210" s="18">
        <v>384</v>
      </c>
    </row>
    <row r="211" spans="1:1" x14ac:dyDescent="0.25">
      <c r="A211" s="18">
        <v>385</v>
      </c>
    </row>
    <row r="212" spans="1:1" x14ac:dyDescent="0.25">
      <c r="A212" s="18">
        <v>386</v>
      </c>
    </row>
    <row r="213" spans="1:1" x14ac:dyDescent="0.25">
      <c r="A213" s="18">
        <v>387</v>
      </c>
    </row>
    <row r="214" spans="1:1" x14ac:dyDescent="0.25">
      <c r="A214" s="18">
        <v>388</v>
      </c>
    </row>
    <row r="215" spans="1:1" x14ac:dyDescent="0.25">
      <c r="A215" s="18">
        <v>389</v>
      </c>
    </row>
    <row r="216" spans="1:1" x14ac:dyDescent="0.25">
      <c r="A216" s="18">
        <v>390</v>
      </c>
    </row>
    <row r="217" spans="1:1" x14ac:dyDescent="0.25">
      <c r="A217" s="18">
        <v>391</v>
      </c>
    </row>
    <row r="218" spans="1:1" x14ac:dyDescent="0.25">
      <c r="A218" s="18">
        <v>392</v>
      </c>
    </row>
    <row r="219" spans="1:1" x14ac:dyDescent="0.25">
      <c r="A219" s="18">
        <v>397</v>
      </c>
    </row>
    <row r="220" spans="1:1" x14ac:dyDescent="0.25">
      <c r="A220" s="18">
        <v>399</v>
      </c>
    </row>
    <row r="221" spans="1:1" x14ac:dyDescent="0.25">
      <c r="A221" s="18">
        <v>411</v>
      </c>
    </row>
    <row r="222" spans="1:1" x14ac:dyDescent="0.25">
      <c r="A222" s="18">
        <v>412</v>
      </c>
    </row>
    <row r="223" spans="1:1" x14ac:dyDescent="0.25">
      <c r="A223" s="18">
        <v>413</v>
      </c>
    </row>
    <row r="224" spans="1:1" x14ac:dyDescent="0.25">
      <c r="A224" s="18">
        <v>414</v>
      </c>
    </row>
    <row r="225" spans="1:1" x14ac:dyDescent="0.25">
      <c r="A225" s="18">
        <v>415</v>
      </c>
    </row>
    <row r="226" spans="1:1" x14ac:dyDescent="0.25">
      <c r="A226" s="18">
        <v>416</v>
      </c>
    </row>
    <row r="227" spans="1:1" x14ac:dyDescent="0.25">
      <c r="A227" s="18">
        <v>417</v>
      </c>
    </row>
    <row r="228" spans="1:1" x14ac:dyDescent="0.25">
      <c r="A228" s="18">
        <v>418</v>
      </c>
    </row>
    <row r="229" spans="1:1" x14ac:dyDescent="0.25">
      <c r="A229" s="18">
        <v>419</v>
      </c>
    </row>
    <row r="230" spans="1:1" x14ac:dyDescent="0.25">
      <c r="A230" s="18">
        <v>420</v>
      </c>
    </row>
    <row r="231" spans="1:1" x14ac:dyDescent="0.25">
      <c r="A231" s="18">
        <v>421</v>
      </c>
    </row>
    <row r="232" spans="1:1" x14ac:dyDescent="0.25">
      <c r="A232" s="18">
        <v>422</v>
      </c>
    </row>
    <row r="233" spans="1:1" x14ac:dyDescent="0.25">
      <c r="A233" s="18">
        <v>423</v>
      </c>
    </row>
    <row r="234" spans="1:1" x14ac:dyDescent="0.25">
      <c r="A234" s="18">
        <v>424</v>
      </c>
    </row>
    <row r="235" spans="1:1" x14ac:dyDescent="0.25">
      <c r="A235" s="18">
        <v>425</v>
      </c>
    </row>
    <row r="236" spans="1:1" x14ac:dyDescent="0.25">
      <c r="A236" s="18">
        <v>426</v>
      </c>
    </row>
    <row r="237" spans="1:1" x14ac:dyDescent="0.25">
      <c r="A237" s="18">
        <v>427</v>
      </c>
    </row>
    <row r="238" spans="1:1" x14ac:dyDescent="0.25">
      <c r="A238" s="18">
        <v>428</v>
      </c>
    </row>
    <row r="239" spans="1:1" x14ac:dyDescent="0.25">
      <c r="A239" s="18">
        <v>439</v>
      </c>
    </row>
    <row r="240" spans="1:1" x14ac:dyDescent="0.25">
      <c r="A240" s="18">
        <v>441</v>
      </c>
    </row>
    <row r="241" spans="1:1" x14ac:dyDescent="0.25">
      <c r="A241" s="18">
        <v>442</v>
      </c>
    </row>
    <row r="242" spans="1:1" x14ac:dyDescent="0.25">
      <c r="A242" s="18">
        <v>443</v>
      </c>
    </row>
    <row r="243" spans="1:1" x14ac:dyDescent="0.25">
      <c r="A243" s="18">
        <v>444</v>
      </c>
    </row>
    <row r="244" spans="1:1" x14ac:dyDescent="0.25">
      <c r="A244" s="18">
        <v>445</v>
      </c>
    </row>
    <row r="245" spans="1:1" x14ac:dyDescent="0.25">
      <c r="A245" s="18">
        <v>446</v>
      </c>
    </row>
    <row r="246" spans="1:1" x14ac:dyDescent="0.25">
      <c r="A246" s="18">
        <v>448</v>
      </c>
    </row>
    <row r="247" spans="1:1" x14ac:dyDescent="0.25">
      <c r="A247" s="18">
        <v>449</v>
      </c>
    </row>
    <row r="248" spans="1:1" x14ac:dyDescent="0.25">
      <c r="A248" s="18">
        <v>451</v>
      </c>
    </row>
    <row r="249" spans="1:1" x14ac:dyDescent="0.25">
      <c r="A249" s="18">
        <v>452</v>
      </c>
    </row>
    <row r="250" spans="1:1" x14ac:dyDescent="0.25">
      <c r="A250" s="18">
        <v>453</v>
      </c>
    </row>
    <row r="251" spans="1:1" x14ac:dyDescent="0.25">
      <c r="A251" s="18">
        <v>454</v>
      </c>
    </row>
    <row r="252" spans="1:1" x14ac:dyDescent="0.25">
      <c r="A252" s="18">
        <v>455</v>
      </c>
    </row>
    <row r="253" spans="1:1" x14ac:dyDescent="0.25">
      <c r="A253" s="18">
        <v>456</v>
      </c>
    </row>
    <row r="254" spans="1:1" x14ac:dyDescent="0.25">
      <c r="A254" s="18">
        <v>457</v>
      </c>
    </row>
    <row r="255" spans="1:1" x14ac:dyDescent="0.25">
      <c r="A255" s="18">
        <v>458</v>
      </c>
    </row>
    <row r="256" spans="1:1" x14ac:dyDescent="0.25">
      <c r="A256" s="18">
        <v>459</v>
      </c>
    </row>
    <row r="257" spans="1:1" x14ac:dyDescent="0.25">
      <c r="A257" s="18">
        <v>469</v>
      </c>
    </row>
    <row r="258" spans="1:1" x14ac:dyDescent="0.25">
      <c r="A258" s="18">
        <v>479</v>
      </c>
    </row>
    <row r="259" spans="1:1" x14ac:dyDescent="0.25">
      <c r="A259" s="18">
        <v>489</v>
      </c>
    </row>
    <row r="260" spans="1:1" x14ac:dyDescent="0.25">
      <c r="A260" s="18">
        <v>499</v>
      </c>
    </row>
    <row r="261" spans="1:1" x14ac:dyDescent="0.25">
      <c r="A261" s="18">
        <v>501</v>
      </c>
    </row>
    <row r="262" spans="1:1" x14ac:dyDescent="0.25">
      <c r="A262" s="18">
        <v>503</v>
      </c>
    </row>
    <row r="263" spans="1:1" x14ac:dyDescent="0.25">
      <c r="A263" s="18">
        <v>505</v>
      </c>
    </row>
    <row r="264" spans="1:1" x14ac:dyDescent="0.25">
      <c r="A264" s="18">
        <v>507</v>
      </c>
    </row>
    <row r="265" spans="1:1" x14ac:dyDescent="0.25">
      <c r="A265" s="18">
        <v>509</v>
      </c>
    </row>
    <row r="266" spans="1:1" x14ac:dyDescent="0.25">
      <c r="A266" s="18">
        <v>513</v>
      </c>
    </row>
    <row r="267" spans="1:1" x14ac:dyDescent="0.25">
      <c r="A267" s="18">
        <v>515</v>
      </c>
    </row>
    <row r="268" spans="1:1" x14ac:dyDescent="0.25">
      <c r="A268" s="18">
        <v>517</v>
      </c>
    </row>
    <row r="269" spans="1:1" x14ac:dyDescent="0.25">
      <c r="A269" s="18">
        <v>519</v>
      </c>
    </row>
    <row r="270" spans="1:1" x14ac:dyDescent="0.25">
      <c r="A270" s="18">
        <v>598</v>
      </c>
    </row>
    <row r="271" spans="1:1" x14ac:dyDescent="0.25">
      <c r="A271" s="18">
        <v>599</v>
      </c>
    </row>
    <row r="272" spans="1:1" x14ac:dyDescent="0.25">
      <c r="A272" s="18">
        <v>601</v>
      </c>
    </row>
    <row r="273" spans="1:1" x14ac:dyDescent="0.25">
      <c r="A273" s="18">
        <v>602</v>
      </c>
    </row>
    <row r="274" spans="1:1" x14ac:dyDescent="0.25">
      <c r="A274" s="18">
        <v>603</v>
      </c>
    </row>
    <row r="275" spans="1:1" x14ac:dyDescent="0.25">
      <c r="A275" s="18">
        <v>604</v>
      </c>
    </row>
    <row r="276" spans="1:1" x14ac:dyDescent="0.25">
      <c r="A276" s="18">
        <v>605</v>
      </c>
    </row>
    <row r="277" spans="1:1" x14ac:dyDescent="0.25">
      <c r="A277" s="18">
        <v>606</v>
      </c>
    </row>
    <row r="278" spans="1:1" x14ac:dyDescent="0.25">
      <c r="A278" s="18">
        <v>607</v>
      </c>
    </row>
    <row r="279" spans="1:1" x14ac:dyDescent="0.25">
      <c r="A279" s="18">
        <v>608</v>
      </c>
    </row>
    <row r="280" spans="1:1" x14ac:dyDescent="0.25">
      <c r="A280" s="18">
        <v>609</v>
      </c>
    </row>
    <row r="281" spans="1:1" x14ac:dyDescent="0.25">
      <c r="A281" s="18">
        <v>610</v>
      </c>
    </row>
    <row r="282" spans="1:1" x14ac:dyDescent="0.25">
      <c r="A282" s="18">
        <v>611</v>
      </c>
    </row>
    <row r="283" spans="1:1" x14ac:dyDescent="0.25">
      <c r="A283" s="18">
        <v>612</v>
      </c>
    </row>
    <row r="284" spans="1:1" x14ac:dyDescent="0.25">
      <c r="A284" s="18">
        <v>691</v>
      </c>
    </row>
    <row r="285" spans="1:1" x14ac:dyDescent="0.25">
      <c r="A285" s="18">
        <v>692</v>
      </c>
    </row>
    <row r="286" spans="1:1" x14ac:dyDescent="0.25">
      <c r="A286" s="18">
        <v>699</v>
      </c>
    </row>
    <row r="287" spans="1:1" x14ac:dyDescent="0.25">
      <c r="A287" s="18">
        <v>701</v>
      </c>
    </row>
    <row r="288" spans="1:1" x14ac:dyDescent="0.25">
      <c r="A288" s="18">
        <v>702</v>
      </c>
    </row>
    <row r="289" spans="1:1" x14ac:dyDescent="0.25">
      <c r="A289" s="18">
        <v>703</v>
      </c>
    </row>
    <row r="290" spans="1:1" x14ac:dyDescent="0.25">
      <c r="A290" s="18">
        <v>704</v>
      </c>
    </row>
    <row r="291" spans="1:1" x14ac:dyDescent="0.25">
      <c r="A291" s="18">
        <v>705</v>
      </c>
    </row>
    <row r="292" spans="1:1" x14ac:dyDescent="0.25">
      <c r="A292" s="18">
        <v>706</v>
      </c>
    </row>
    <row r="293" spans="1:1" x14ac:dyDescent="0.25">
      <c r="A293" s="18">
        <v>707</v>
      </c>
    </row>
    <row r="294" spans="1:1" x14ac:dyDescent="0.25">
      <c r="A294" s="18">
        <v>708</v>
      </c>
    </row>
    <row r="295" spans="1:1" x14ac:dyDescent="0.25">
      <c r="A295" s="18">
        <v>709</v>
      </c>
    </row>
    <row r="296" spans="1:1" x14ac:dyDescent="0.25">
      <c r="A296" s="18">
        <v>710</v>
      </c>
    </row>
    <row r="297" spans="1:1" x14ac:dyDescent="0.25">
      <c r="A297" s="18">
        <v>711</v>
      </c>
    </row>
    <row r="298" spans="1:1" x14ac:dyDescent="0.25">
      <c r="A298" s="18">
        <v>712</v>
      </c>
    </row>
    <row r="299" spans="1:1" x14ac:dyDescent="0.25">
      <c r="A299" s="18">
        <v>713</v>
      </c>
    </row>
    <row r="300" spans="1:1" x14ac:dyDescent="0.25">
      <c r="A300" s="18">
        <v>715</v>
      </c>
    </row>
    <row r="301" spans="1:1" x14ac:dyDescent="0.25">
      <c r="A301" s="18">
        <v>716</v>
      </c>
    </row>
    <row r="302" spans="1:1" x14ac:dyDescent="0.25">
      <c r="A302" s="18">
        <v>717</v>
      </c>
    </row>
    <row r="303" spans="1:1" x14ac:dyDescent="0.25">
      <c r="A303" s="18">
        <v>718</v>
      </c>
    </row>
    <row r="304" spans="1:1" x14ac:dyDescent="0.25">
      <c r="A304" s="18">
        <v>719</v>
      </c>
    </row>
    <row r="305" spans="1:1" x14ac:dyDescent="0.25">
      <c r="A305" s="18">
        <v>720</v>
      </c>
    </row>
    <row r="306" spans="1:1" x14ac:dyDescent="0.25">
      <c r="A306" s="18">
        <v>721</v>
      </c>
    </row>
    <row r="307" spans="1:1" x14ac:dyDescent="0.25">
      <c r="A307" s="18">
        <v>722</v>
      </c>
    </row>
    <row r="308" spans="1:1" x14ac:dyDescent="0.25">
      <c r="A308" s="18">
        <v>723</v>
      </c>
    </row>
    <row r="309" spans="1:1" x14ac:dyDescent="0.25">
      <c r="A309" s="18">
        <v>724</v>
      </c>
    </row>
    <row r="310" spans="1:1" x14ac:dyDescent="0.25">
      <c r="A310" s="18">
        <v>725</v>
      </c>
    </row>
    <row r="311" spans="1:1" x14ac:dyDescent="0.25">
      <c r="A311" s="18">
        <v>726</v>
      </c>
    </row>
    <row r="312" spans="1:1" x14ac:dyDescent="0.25">
      <c r="A312" s="18">
        <v>727</v>
      </c>
    </row>
    <row r="313" spans="1:1" x14ac:dyDescent="0.25">
      <c r="A313" s="18">
        <v>728</v>
      </c>
    </row>
    <row r="314" spans="1:1" x14ac:dyDescent="0.25">
      <c r="A314" s="18">
        <v>729</v>
      </c>
    </row>
    <row r="315" spans="1:1" x14ac:dyDescent="0.25">
      <c r="A315" s="18">
        <v>730</v>
      </c>
    </row>
    <row r="316" spans="1:1" x14ac:dyDescent="0.25">
      <c r="A316" s="18">
        <v>731</v>
      </c>
    </row>
    <row r="317" spans="1:1" x14ac:dyDescent="0.25">
      <c r="A317" s="18">
        <v>732</v>
      </c>
    </row>
    <row r="318" spans="1:1" x14ac:dyDescent="0.25">
      <c r="A318" s="18">
        <v>733</v>
      </c>
    </row>
    <row r="319" spans="1:1" x14ac:dyDescent="0.25">
      <c r="A319" s="18">
        <v>734</v>
      </c>
    </row>
    <row r="320" spans="1:1" x14ac:dyDescent="0.25">
      <c r="A320" s="18">
        <v>735</v>
      </c>
    </row>
    <row r="321" spans="1:1" x14ac:dyDescent="0.25">
      <c r="A321" s="18">
        <v>736</v>
      </c>
    </row>
    <row r="322" spans="1:1" x14ac:dyDescent="0.25">
      <c r="A322" s="18">
        <v>737</v>
      </c>
    </row>
    <row r="323" spans="1:1" x14ac:dyDescent="0.25">
      <c r="A323" s="18">
        <v>738</v>
      </c>
    </row>
    <row r="324" spans="1:1" x14ac:dyDescent="0.25">
      <c r="A324" s="18">
        <v>739</v>
      </c>
    </row>
    <row r="325" spans="1:1" x14ac:dyDescent="0.25">
      <c r="A325" s="18">
        <v>740</v>
      </c>
    </row>
    <row r="326" spans="1:1" x14ac:dyDescent="0.25">
      <c r="A326" s="18">
        <v>742</v>
      </c>
    </row>
    <row r="327" spans="1:1" x14ac:dyDescent="0.25">
      <c r="A327" s="18">
        <v>743</v>
      </c>
    </row>
    <row r="328" spans="1:1" x14ac:dyDescent="0.25">
      <c r="A328" s="18">
        <v>744</v>
      </c>
    </row>
    <row r="329" spans="1:1" x14ac:dyDescent="0.25">
      <c r="A329" s="18">
        <v>745</v>
      </c>
    </row>
    <row r="330" spans="1:1" x14ac:dyDescent="0.25">
      <c r="A330" s="18">
        <v>746</v>
      </c>
    </row>
    <row r="331" spans="1:1" x14ac:dyDescent="0.25">
      <c r="A331" s="18">
        <v>747</v>
      </c>
    </row>
    <row r="332" spans="1:1" x14ac:dyDescent="0.25">
      <c r="A332" s="18">
        <v>748</v>
      </c>
    </row>
    <row r="333" spans="1:1" x14ac:dyDescent="0.25">
      <c r="A333" s="18">
        <v>749</v>
      </c>
    </row>
    <row r="334" spans="1:1" x14ac:dyDescent="0.25">
      <c r="A334" s="18">
        <v>750</v>
      </c>
    </row>
    <row r="335" spans="1:1" x14ac:dyDescent="0.25">
      <c r="A335" s="18">
        <v>751</v>
      </c>
    </row>
    <row r="336" spans="1:1" x14ac:dyDescent="0.25">
      <c r="A336" s="18">
        <v>752</v>
      </c>
    </row>
    <row r="337" spans="1:1" x14ac:dyDescent="0.25">
      <c r="A337" s="18">
        <v>753</v>
      </c>
    </row>
    <row r="338" spans="1:1" x14ac:dyDescent="0.25">
      <c r="A338" s="18">
        <v>754</v>
      </c>
    </row>
    <row r="339" spans="1:1" x14ac:dyDescent="0.25">
      <c r="A339" s="18">
        <v>755</v>
      </c>
    </row>
    <row r="340" spans="1:1" x14ac:dyDescent="0.25">
      <c r="A340" s="18">
        <v>756</v>
      </c>
    </row>
    <row r="341" spans="1:1" x14ac:dyDescent="0.25">
      <c r="A341" s="18">
        <v>757</v>
      </c>
    </row>
    <row r="342" spans="1:1" x14ac:dyDescent="0.25">
      <c r="A342" s="18">
        <v>758</v>
      </c>
    </row>
    <row r="343" spans="1:1" x14ac:dyDescent="0.25">
      <c r="A343" s="18">
        <v>759</v>
      </c>
    </row>
    <row r="344" spans="1:1" x14ac:dyDescent="0.25">
      <c r="A344" s="18">
        <v>760</v>
      </c>
    </row>
    <row r="345" spans="1:1" x14ac:dyDescent="0.25">
      <c r="A345" s="18">
        <v>761</v>
      </c>
    </row>
    <row r="346" spans="1:1" x14ac:dyDescent="0.25">
      <c r="A346" s="18">
        <v>762</v>
      </c>
    </row>
    <row r="347" spans="1:1" x14ac:dyDescent="0.25">
      <c r="A347" s="18">
        <v>763</v>
      </c>
    </row>
    <row r="348" spans="1:1" x14ac:dyDescent="0.25">
      <c r="A348" s="18">
        <v>764</v>
      </c>
    </row>
    <row r="349" spans="1:1" x14ac:dyDescent="0.25">
      <c r="A349" s="18">
        <v>765</v>
      </c>
    </row>
    <row r="350" spans="1:1" x14ac:dyDescent="0.25">
      <c r="A350" s="18">
        <v>766</v>
      </c>
    </row>
    <row r="351" spans="1:1" x14ac:dyDescent="0.25">
      <c r="A351" s="18">
        <v>767</v>
      </c>
    </row>
    <row r="352" spans="1:1" x14ac:dyDescent="0.25">
      <c r="A352" s="18">
        <v>768</v>
      </c>
    </row>
    <row r="353" spans="1:1" x14ac:dyDescent="0.25">
      <c r="A353" s="18">
        <v>769</v>
      </c>
    </row>
    <row r="354" spans="1:1" x14ac:dyDescent="0.25">
      <c r="A354" s="18">
        <v>770</v>
      </c>
    </row>
    <row r="355" spans="1:1" x14ac:dyDescent="0.25">
      <c r="A355" s="18">
        <v>771</v>
      </c>
    </row>
    <row r="356" spans="1:1" x14ac:dyDescent="0.25">
      <c r="A356" s="18">
        <v>772</v>
      </c>
    </row>
    <row r="357" spans="1:1" x14ac:dyDescent="0.25">
      <c r="A357" s="18">
        <v>773</v>
      </c>
    </row>
    <row r="358" spans="1:1" x14ac:dyDescent="0.25">
      <c r="A358" s="18">
        <v>774</v>
      </c>
    </row>
    <row r="359" spans="1:1" x14ac:dyDescent="0.25">
      <c r="A359" s="18">
        <v>775</v>
      </c>
    </row>
    <row r="360" spans="1:1" x14ac:dyDescent="0.25">
      <c r="A360" s="18">
        <v>776</v>
      </c>
    </row>
    <row r="361" spans="1:1" x14ac:dyDescent="0.25">
      <c r="A361" s="18">
        <v>777</v>
      </c>
    </row>
    <row r="362" spans="1:1" x14ac:dyDescent="0.25">
      <c r="A362" s="18">
        <v>778</v>
      </c>
    </row>
    <row r="363" spans="1:1" x14ac:dyDescent="0.25">
      <c r="A363" s="18">
        <v>779</v>
      </c>
    </row>
    <row r="364" spans="1:1" x14ac:dyDescent="0.25">
      <c r="A364" s="18">
        <v>780</v>
      </c>
    </row>
    <row r="365" spans="1:1" x14ac:dyDescent="0.25">
      <c r="A365" s="18">
        <v>781</v>
      </c>
    </row>
    <row r="366" spans="1:1" x14ac:dyDescent="0.25">
      <c r="A366" s="18">
        <v>782</v>
      </c>
    </row>
    <row r="367" spans="1:1" x14ac:dyDescent="0.25">
      <c r="A367" s="18">
        <v>783</v>
      </c>
    </row>
    <row r="368" spans="1:1" x14ac:dyDescent="0.25">
      <c r="A368" s="18">
        <v>784</v>
      </c>
    </row>
    <row r="369" spans="1:1" x14ac:dyDescent="0.25">
      <c r="A369" s="18">
        <v>785</v>
      </c>
    </row>
    <row r="370" spans="1:1" x14ac:dyDescent="0.25">
      <c r="A370" s="18">
        <v>786</v>
      </c>
    </row>
    <row r="371" spans="1:1" x14ac:dyDescent="0.25">
      <c r="A371" s="18">
        <v>787</v>
      </c>
    </row>
    <row r="372" spans="1:1" x14ac:dyDescent="0.25">
      <c r="A372" s="18">
        <v>788</v>
      </c>
    </row>
    <row r="373" spans="1:1" x14ac:dyDescent="0.25">
      <c r="A373" s="18">
        <v>789</v>
      </c>
    </row>
    <row r="374" spans="1:1" x14ac:dyDescent="0.25">
      <c r="A374" s="18">
        <v>790</v>
      </c>
    </row>
    <row r="375" spans="1:1" x14ac:dyDescent="0.25">
      <c r="A375" s="18">
        <v>791</v>
      </c>
    </row>
    <row r="376" spans="1:1" x14ac:dyDescent="0.25">
      <c r="A376" s="18">
        <v>792</v>
      </c>
    </row>
    <row r="377" spans="1:1" x14ac:dyDescent="0.25">
      <c r="A377" s="18">
        <v>794</v>
      </c>
    </row>
    <row r="378" spans="1:1" x14ac:dyDescent="0.25">
      <c r="A378" s="18">
        <v>797</v>
      </c>
    </row>
    <row r="379" spans="1:1" x14ac:dyDescent="0.25">
      <c r="A379" s="18">
        <v>798</v>
      </c>
    </row>
    <row r="380" spans="1:1" x14ac:dyDescent="0.25">
      <c r="A380" s="18">
        <v>799</v>
      </c>
    </row>
    <row r="381" spans="1:1" x14ac:dyDescent="0.25">
      <c r="A381" s="18">
        <v>801</v>
      </c>
    </row>
    <row r="382" spans="1:1" x14ac:dyDescent="0.25">
      <c r="A382" s="18">
        <v>802</v>
      </c>
    </row>
    <row r="383" spans="1:1" x14ac:dyDescent="0.25">
      <c r="A383" s="18">
        <v>811</v>
      </c>
    </row>
    <row r="384" spans="1:1" x14ac:dyDescent="0.25">
      <c r="A384" s="18">
        <v>815</v>
      </c>
    </row>
    <row r="385" spans="1:1" x14ac:dyDescent="0.25">
      <c r="A385" s="18">
        <v>820</v>
      </c>
    </row>
    <row r="386" spans="1:1" x14ac:dyDescent="0.25">
      <c r="A386" s="18">
        <v>850</v>
      </c>
    </row>
    <row r="387" spans="1:1" x14ac:dyDescent="0.25">
      <c r="A387" s="18">
        <v>377</v>
      </c>
    </row>
    <row r="388" spans="1:1" x14ac:dyDescent="0.25">
      <c r="A388" s="18">
        <v>477</v>
      </c>
    </row>
    <row r="389" spans="1:1" x14ac:dyDescent="0.25">
      <c r="A389" s="18">
        <v>812</v>
      </c>
    </row>
    <row r="390" spans="1:1" x14ac:dyDescent="0.25">
      <c r="A390" s="18">
        <v>813</v>
      </c>
    </row>
    <row r="391" spans="1:1" x14ac:dyDescent="0.25">
      <c r="A391" s="18">
        <v>814</v>
      </c>
    </row>
    <row r="392" spans="1:1" x14ac:dyDescent="0.25">
      <c r="A392" s="18">
        <v>815</v>
      </c>
    </row>
    <row r="393" spans="1:1" x14ac:dyDescent="0.25">
      <c r="A393" s="18">
        <v>816</v>
      </c>
    </row>
    <row r="394" spans="1:1" x14ac:dyDescent="0.25">
      <c r="A394" s="18">
        <v>817</v>
      </c>
    </row>
    <row r="395" spans="1:1" x14ac:dyDescent="0.25">
      <c r="A395" s="18">
        <v>818</v>
      </c>
    </row>
    <row r="396" spans="1:1" x14ac:dyDescent="0.25">
      <c r="A396" s="18">
        <v>819</v>
      </c>
    </row>
    <row r="397" spans="1:1" x14ac:dyDescent="0.25">
      <c r="A397" s="18">
        <v>820</v>
      </c>
    </row>
    <row r="398" spans="1:1" x14ac:dyDescent="0.25">
      <c r="A398" s="18">
        <v>821</v>
      </c>
    </row>
    <row r="399" spans="1:1" x14ac:dyDescent="0.25">
      <c r="A399" s="18">
        <v>822</v>
      </c>
    </row>
    <row r="400" spans="1:1" x14ac:dyDescent="0.25">
      <c r="A400" s="18">
        <v>829</v>
      </c>
    </row>
    <row r="401" spans="1:1" x14ac:dyDescent="0.25">
      <c r="A401" s="18">
        <v>839</v>
      </c>
    </row>
    <row r="402" spans="1:1" x14ac:dyDescent="0.25">
      <c r="A402" s="18">
        <v>841</v>
      </c>
    </row>
    <row r="403" spans="1:1" x14ac:dyDescent="0.25">
      <c r="A403" s="18">
        <v>842</v>
      </c>
    </row>
    <row r="404" spans="1:1" x14ac:dyDescent="0.25">
      <c r="A404" s="18">
        <v>849</v>
      </c>
    </row>
    <row r="405" spans="1:1" x14ac:dyDescent="0.25">
      <c r="A405" s="18">
        <v>851</v>
      </c>
    </row>
    <row r="406" spans="1:1" x14ac:dyDescent="0.25">
      <c r="A406" s="18">
        <v>852</v>
      </c>
    </row>
    <row r="407" spans="1:1" x14ac:dyDescent="0.25">
      <c r="A407" s="18">
        <v>853</v>
      </c>
    </row>
    <row r="408" spans="1:1" x14ac:dyDescent="0.25">
      <c r="A408" s="18">
        <v>854</v>
      </c>
    </row>
    <row r="409" spans="1:1" x14ac:dyDescent="0.25">
      <c r="A409" s="18">
        <v>855</v>
      </c>
    </row>
    <row r="410" spans="1:1" x14ac:dyDescent="0.25">
      <c r="A410" s="18">
        <v>856</v>
      </c>
    </row>
    <row r="411" spans="1:1" x14ac:dyDescent="0.25">
      <c r="A411" s="18">
        <v>859</v>
      </c>
    </row>
    <row r="412" spans="1:1" x14ac:dyDescent="0.25">
      <c r="A412" s="18">
        <v>869</v>
      </c>
    </row>
    <row r="413" spans="1:1" x14ac:dyDescent="0.25">
      <c r="A413" s="18">
        <v>879</v>
      </c>
    </row>
    <row r="414" spans="1:1" x14ac:dyDescent="0.25">
      <c r="A414" s="18">
        <v>890</v>
      </c>
    </row>
    <row r="415" spans="1:1" x14ac:dyDescent="0.25">
      <c r="A415" s="18">
        <v>890</v>
      </c>
    </row>
    <row r="416" spans="1:1" x14ac:dyDescent="0.25">
      <c r="A416" s="18">
        <v>899</v>
      </c>
    </row>
    <row r="417" spans="1:1" x14ac:dyDescent="0.25">
      <c r="A417" s="18">
        <v>447</v>
      </c>
    </row>
  </sheetData>
  <customSheetViews>
    <customSheetView guid="{393F5C55-F382-488D-820D-AD7E2AF37D2B}" state="hidden">
      <selection activeCell="E18" sqref="E18"/>
      <pageMargins left="0.7" right="0.7" top="0.75" bottom="0.75" header="0.3" footer="0.3"/>
    </customSheetView>
  </customSheetViews>
  <mergeCells count="1">
    <mergeCell ref="B1:I1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</vt:lpstr>
      <vt:lpstr>BALANCES</vt:lpstr>
      <vt:lpstr>CODES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2015-09-29T17:31:19Z</dcterms:created>
  <dcterms:modified xsi:type="dcterms:W3CDTF">2015-11-07T16:13:05Z</dcterms:modified>
</cp:coreProperties>
</file>